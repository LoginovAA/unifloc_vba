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0" windowWidth="20730" windowHeight="11760" tabRatio="416"/>
  </bookViews>
  <sheets>
    <sheet name="Лист1" sheetId="1" r:id="rId1"/>
  </sheets>
  <definedNames>
    <definedName name="Bob_m3m3">Лист1!$C$26</definedName>
    <definedName name="d_mm">Лист1!$C$16</definedName>
    <definedName name="dpdl_aCurve">Лист1!$J$10:$J$30</definedName>
    <definedName name="dpdl_fCurve">Лист1!$I$10:$I$30</definedName>
    <definedName name="dpdl_gCurve">Лист1!$H$10:$H$30</definedName>
    <definedName name="fpat_">Лист1!$O$10:$O$30</definedName>
    <definedName name="gamma_gas">Лист1!$C$19</definedName>
    <definedName name="gamma_oil">Лист1!$C$20</definedName>
    <definedName name="gamma_wat">Лист1!$C$21</definedName>
    <definedName name="Hl">Лист1!$M$10:$M$30</definedName>
    <definedName name="Hmes0_m">Лист1!$C$14</definedName>
    <definedName name="Hmes1_m">Лист1!$C$15</definedName>
    <definedName name="mdd">Лист1!$F$10:$F$30</definedName>
    <definedName name="Muob_cP">Лист1!$C$27</definedName>
    <definedName name="p_">Лист1!$G$10:$G$30</definedName>
    <definedName name="Pb_atma">Лист1!$C$24</definedName>
    <definedName name="Pcalc_atma">Лист1!$C$11</definedName>
    <definedName name="Pout">Лист1!$C$28</definedName>
    <definedName name="Q_m3Day">Лист1!$C$9</definedName>
    <definedName name="roughness_m">Лист1!$C$17</definedName>
    <definedName name="Rp_m3m3">Лист1!$C$23</definedName>
    <definedName name="Rsb_m3m3">Лист1!$C$22</definedName>
    <definedName name="T_">Лист1!$N$10:$N$30</definedName>
    <definedName name="Tcalc_C">Лист1!$C$12</definedName>
    <definedName name="Tother_C">Лист1!$C$13</definedName>
    <definedName name="Tout">Лист1!$C$29</definedName>
    <definedName name="Tres_C">Лист1!$C$25</definedName>
    <definedName name="vsg">Лист1!$L$10:$L$30</definedName>
    <definedName name="vsl">Лист1!$K$10:$K$30</definedName>
    <definedName name="WCT_perc">Лист1!$C$10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F29" i="1" l="1"/>
  <c r="AF28" i="1" s="1"/>
  <c r="AF27" i="1" s="1"/>
  <c r="AF26" i="1" s="1"/>
  <c r="AF25" i="1" s="1"/>
  <c r="AF24" i="1" s="1"/>
  <c r="AF23" i="1" s="1"/>
  <c r="AF22" i="1" s="1"/>
  <c r="AF21" i="1" s="1"/>
  <c r="AF20" i="1" s="1"/>
  <c r="AF19" i="1" s="1"/>
  <c r="AF18" i="1" s="1"/>
  <c r="AF17" i="1" s="1"/>
  <c r="AF16" i="1" s="1"/>
  <c r="AF15" i="1" s="1"/>
  <c r="AF14" i="1" s="1"/>
  <c r="AF13" i="1" s="1"/>
  <c r="AF12" i="1" s="1"/>
  <c r="AF11" i="1" s="1"/>
  <c r="AF10" i="1" s="1"/>
</calcChain>
</file>

<file path=xl/sharedStrings.xml><?xml version="1.0" encoding="utf-8"?>
<sst xmlns="http://schemas.openxmlformats.org/spreadsheetml/2006/main" count="110" uniqueCount="44">
  <si>
    <t>Q_m3Day</t>
  </si>
  <si>
    <t>WCT_perc</t>
  </si>
  <si>
    <t>Hmes0_m</t>
  </si>
  <si>
    <t>Hmes1_m</t>
  </si>
  <si>
    <t>Pcalc_atma</t>
  </si>
  <si>
    <t>Pout</t>
  </si>
  <si>
    <t>Tout</t>
  </si>
  <si>
    <t>d_mm</t>
  </si>
  <si>
    <t>roughness_m</t>
  </si>
  <si>
    <t>gamma_gas</t>
  </si>
  <si>
    <t>gamma_oil</t>
  </si>
  <si>
    <t>gamma_wat</t>
  </si>
  <si>
    <t>Rsb_m3m3</t>
  </si>
  <si>
    <t>Rp_m3m3</t>
  </si>
  <si>
    <t>Pb_atma</t>
  </si>
  <si>
    <t>Tres_C</t>
  </si>
  <si>
    <t>Bob_m3m3</t>
  </si>
  <si>
    <t>Tother_C</t>
  </si>
  <si>
    <t>Tcalc_C</t>
  </si>
  <si>
    <t>H</t>
  </si>
  <si>
    <t>p</t>
  </si>
  <si>
    <t>dpdl_g</t>
  </si>
  <si>
    <t>dpdl_f</t>
  </si>
  <si>
    <t>dpdl_a</t>
  </si>
  <si>
    <t>vsl</t>
  </si>
  <si>
    <t>vsg</t>
  </si>
  <si>
    <t>Hl</t>
  </si>
  <si>
    <t>T</t>
  </si>
  <si>
    <t>Pipesim</t>
  </si>
  <si>
    <t>ГФ=2000</t>
  </si>
  <si>
    <t>Унифлок 7</t>
  </si>
  <si>
    <t>ИРМ Расчет распределения давления и температуры в сегменте скважины</t>
  </si>
  <si>
    <t>версия 0.1</t>
  </si>
  <si>
    <t>Исходные данные для расчета</t>
  </si>
  <si>
    <t>Результаты расчета</t>
  </si>
  <si>
    <t>Muob_cP</t>
  </si>
  <si>
    <t>ГФ=100</t>
  </si>
  <si>
    <t>Результаты расчетов для сранения</t>
  </si>
  <si>
    <t>гф=3000</t>
  </si>
  <si>
    <t>гф=5000</t>
  </si>
  <si>
    <t>обв=95</t>
  </si>
  <si>
    <t>hl</t>
  </si>
  <si>
    <t>без калибровки</t>
  </si>
  <si>
    <t>Исп детальную модель трубы для температуры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</si>
</sst>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1" xfId="0" applyFill="1" applyBorder="1"/>
    <xf numFmtId="0" fontId="0" fillId="3" borderId="0" xfId="0" applyFill="1"/>
    <xf numFmtId="0" fontId="0" fillId="3" borderId="1" xfId="0" applyFill="1" applyBorder="1"/>
    <xf numFmtId="0" fontId="2" fillId="4" borderId="0" xfId="0" applyFont="1" applyFill="1" applyAlignment="1">
      <alignment horizontal="center"/>
    </xf>
    <xf numFmtId="0" fontId="2" fillId="4" borderId="0" xfId="0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0" fontId="0" fillId="3" borderId="2" xfId="0" applyFill="1" applyBorder="1"/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11" fontId="0" fillId="0" borderId="0" xfId="0" applyNumberFormat="1"/>
    <xf numFmtId="2" fontId="0" fillId="0" borderId="0" xfId="0" applyNumberFormat="1"/>
    <xf numFmtId="0" fontId="0" fillId="3" borderId="3" xfId="0" applyFill="1" applyBorder="1"/>
    <xf numFmtId="164" fontId="0" fillId="0" borderId="0" xfId="0" applyNumberFormat="1"/>
    <xf numFmtId="0" fontId="1" fillId="3" borderId="1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 applyAlignment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</a:t>
            </a:r>
            <a:r>
              <a:rPr lang="ru-RU"/>
              <a:t>, атм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dPt>
            <c:idx val="1"/>
            <c:bubble3D val="0"/>
            <c:spPr>
              <a:ln w="25400">
                <a:miter lim="800000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654-4D61-B3BB-F3BF81CF2D8C}"/>
              </c:ext>
            </c:extLst>
          </c:dPt>
          <c:dPt>
            <c:idx val="7"/>
            <c:marker>
              <c:symbol val="diamond"/>
              <c:size val="5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8654-4D61-B3BB-F3BF81CF2D8C}"/>
              </c:ext>
            </c:extLst>
          </c:dPt>
          <c:xVal>
            <c:numRef>
              <c:f>Лист1!$G$10:$G$30</c:f>
              <c:numCache>
                <c:formatCode>General</c:formatCode>
                <c:ptCount val="21"/>
                <c:pt idx="0">
                  <c:v>20</c:v>
                </c:pt>
                <c:pt idx="1">
                  <c:v>22.301886358769828</c:v>
                </c:pt>
                <c:pt idx="2">
                  <c:v>24.762260476990093</c:v>
                </c:pt>
                <c:pt idx="3">
                  <c:v>27.52289550879896</c:v>
                </c:pt>
                <c:pt idx="4">
                  <c:v>30.812383082611845</c:v>
                </c:pt>
                <c:pt idx="5">
                  <c:v>34.286082432162836</c:v>
                </c:pt>
                <c:pt idx="6">
                  <c:v>37.935524008123942</c:v>
                </c:pt>
                <c:pt idx="7">
                  <c:v>41.750896784052465</c:v>
                </c:pt>
                <c:pt idx="8">
                  <c:v>45.721444240336105</c:v>
                </c:pt>
                <c:pt idx="9">
                  <c:v>49.835777078697959</c:v>
                </c:pt>
                <c:pt idx="10">
                  <c:v>54.082175391792504</c:v>
                </c:pt>
                <c:pt idx="11">
                  <c:v>58.448861073004849</c:v>
                </c:pt>
                <c:pt idx="12">
                  <c:v>62.924230999420864</c:v>
                </c:pt>
                <c:pt idx="13">
                  <c:v>67.497049625746286</c:v>
                </c:pt>
                <c:pt idx="14">
                  <c:v>72.156596861880743</c:v>
                </c:pt>
                <c:pt idx="15">
                  <c:v>76.892771529972336</c:v>
                </c:pt>
                <c:pt idx="16">
                  <c:v>81.696160907940282</c:v>
                </c:pt>
                <c:pt idx="17">
                  <c:v>86.558073131379302</c:v>
                </c:pt>
                <c:pt idx="18">
                  <c:v>91.470544992498162</c:v>
                </c:pt>
                <c:pt idx="19">
                  <c:v>96.426326692990116</c:v>
                </c:pt>
                <c:pt idx="20">
                  <c:v>101.4188544436672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54-4D61-B3BB-F3BF81CF2D8C}"/>
            </c:ext>
          </c:extLst>
        </c:ser>
        <c:ser>
          <c:idx val="1"/>
          <c:order val="1"/>
          <c:xVal>
            <c:numRef>
              <c:f>Лист1!$F$63:$F$83</c:f>
              <c:numCache>
                <c:formatCode>General</c:formatCode>
                <c:ptCount val="21"/>
                <c:pt idx="0">
                  <c:v>97.370099999999994</c:v>
                </c:pt>
                <c:pt idx="1">
                  <c:v>92.568700000000007</c:v>
                </c:pt>
                <c:pt idx="2">
                  <c:v>87.813199999999995</c:v>
                </c:pt>
                <c:pt idx="3">
                  <c:v>83.109300000000005</c:v>
                </c:pt>
                <c:pt idx="4">
                  <c:v>78.463700000000003</c:v>
                </c:pt>
                <c:pt idx="5">
                  <c:v>73.884</c:v>
                </c:pt>
                <c:pt idx="6">
                  <c:v>69.377899999999997</c:v>
                </c:pt>
                <c:pt idx="7">
                  <c:v>64.953800000000001</c:v>
                </c:pt>
                <c:pt idx="8">
                  <c:v>60.6205</c:v>
                </c:pt>
                <c:pt idx="9">
                  <c:v>56.387099999999997</c:v>
                </c:pt>
                <c:pt idx="10">
                  <c:v>52.262900000000002</c:v>
                </c:pt>
                <c:pt idx="11">
                  <c:v>48.257199999999997</c:v>
                </c:pt>
                <c:pt idx="12">
                  <c:v>44.378599999999999</c:v>
                </c:pt>
                <c:pt idx="13">
                  <c:v>40.636400000000002</c:v>
                </c:pt>
                <c:pt idx="14">
                  <c:v>37.039700000000003</c:v>
                </c:pt>
                <c:pt idx="15">
                  <c:v>33.596800000000002</c:v>
                </c:pt>
                <c:pt idx="16">
                  <c:v>30.315300000000001</c:v>
                </c:pt>
                <c:pt idx="17">
                  <c:v>27.203099999999999</c:v>
                </c:pt>
                <c:pt idx="18">
                  <c:v>24.6769</c:v>
                </c:pt>
                <c:pt idx="19">
                  <c:v>22.2988</c:v>
                </c:pt>
                <c:pt idx="20">
                  <c:v>20.067599999999999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8654-4D61-B3BB-F3BF81CF2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29408"/>
        <c:axId val="161929984"/>
      </c:scatterChart>
      <c:valAx>
        <c:axId val="16192940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161929984"/>
        <c:crosses val="autoZero"/>
        <c:crossBetween val="midCat"/>
      </c:valAx>
      <c:valAx>
        <c:axId val="161929984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92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gravity gradient,</a:t>
            </a:r>
            <a:r>
              <a:rPr lang="en-US" baseline="0"/>
              <a:t> </a:t>
            </a:r>
            <a:r>
              <a:rPr lang="ru-RU" baseline="0"/>
              <a:t>атм/м</a:t>
            </a:r>
            <a:endParaRPr lang="ru-RU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5585812866364918"/>
          <c:y val="0.1872324412908449"/>
          <c:w val="0.75826093112765003"/>
          <c:h val="0.78506072818805805"/>
        </c:manualLayout>
      </c:layout>
      <c:scatterChart>
        <c:scatterStyle val="lineMarker"/>
        <c:varyColors val="0"/>
        <c:ser>
          <c:idx val="0"/>
          <c:order val="0"/>
          <c:xVal>
            <c:numRef>
              <c:f>Лист1!$H$10:$H$30</c:f>
              <c:numCache>
                <c:formatCode>General</c:formatCode>
                <c:ptCount val="21"/>
                <c:pt idx="0">
                  <c:v>2.1546667621770828E-2</c:v>
                </c:pt>
                <c:pt idx="1">
                  <c:v>2.3190932852245934E-2</c:v>
                </c:pt>
                <c:pt idx="2">
                  <c:v>2.4838731651383839E-2</c:v>
                </c:pt>
                <c:pt idx="3">
                  <c:v>3.1342931255605007E-2</c:v>
                </c:pt>
                <c:pt idx="4">
                  <c:v>3.3289414937891122E-2</c:v>
                </c:pt>
                <c:pt idx="5">
                  <c:v>3.5148554366243499E-2</c:v>
                </c:pt>
                <c:pt idx="6">
                  <c:v>3.6905991978717405E-2</c:v>
                </c:pt>
                <c:pt idx="7">
                  <c:v>3.8552428359565218E-2</c:v>
                </c:pt>
                <c:pt idx="8">
                  <c:v>4.0081346763558554E-2</c:v>
                </c:pt>
                <c:pt idx="9">
                  <c:v>4.1489059883541381E-2</c:v>
                </c:pt>
                <c:pt idx="10">
                  <c:v>4.2774591987471029E-2</c:v>
                </c:pt>
                <c:pt idx="11">
                  <c:v>4.3939291417411701E-2</c:v>
                </c:pt>
                <c:pt idx="12">
                  <c:v>4.4986540914587085E-2</c:v>
                </c:pt>
                <c:pt idx="13">
                  <c:v>4.5921326433409904E-2</c:v>
                </c:pt>
                <c:pt idx="14">
                  <c:v>4.674977554758087E-2</c:v>
                </c:pt>
                <c:pt idx="15">
                  <c:v>4.7478777643569794E-2</c:v>
                </c:pt>
                <c:pt idx="16">
                  <c:v>4.8115748569317725E-2</c:v>
                </c:pt>
                <c:pt idx="17">
                  <c:v>4.8668176251256252E-2</c:v>
                </c:pt>
                <c:pt idx="18">
                  <c:v>4.9143487368918583E-2</c:v>
                </c:pt>
                <c:pt idx="19">
                  <c:v>4.9548865959734838E-2</c:v>
                </c:pt>
                <c:pt idx="20">
                  <c:v>4.9891091694004387E-2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E5D-4574-A3BE-5495599EB186}"/>
            </c:ext>
          </c:extLst>
        </c:ser>
        <c:ser>
          <c:idx val="1"/>
          <c:order val="1"/>
          <c:xVal>
            <c:numRef>
              <c:f>Лист1!$G$63:$G$83</c:f>
              <c:numCache>
                <c:formatCode>0.00E+00</c:formatCode>
                <c:ptCount val="21"/>
                <c:pt idx="0">
                  <c:v>4.80972E-2</c:v>
                </c:pt>
                <c:pt idx="1">
                  <c:v>4.76134E-2</c:v>
                </c:pt>
                <c:pt idx="2">
                  <c:v>4.71245E-2</c:v>
                </c:pt>
                <c:pt idx="3">
                  <c:v>4.6568600000000002E-2</c:v>
                </c:pt>
                <c:pt idx="4">
                  <c:v>4.5940500000000002E-2</c:v>
                </c:pt>
                <c:pt idx="5">
                  <c:v>4.5234999999999997E-2</c:v>
                </c:pt>
                <c:pt idx="6">
                  <c:v>4.4447E-2</c:v>
                </c:pt>
                <c:pt idx="7">
                  <c:v>4.3571800000000001E-2</c:v>
                </c:pt>
                <c:pt idx="8">
                  <c:v>4.2605200000000003E-2</c:v>
                </c:pt>
                <c:pt idx="9">
                  <c:v>4.1543900000000002E-2</c:v>
                </c:pt>
                <c:pt idx="10">
                  <c:v>4.0385499999999998E-2</c:v>
                </c:pt>
                <c:pt idx="11">
                  <c:v>3.9137100000000001E-2</c:v>
                </c:pt>
                <c:pt idx="12">
                  <c:v>3.7793399999999998E-2</c:v>
                </c:pt>
                <c:pt idx="13">
                  <c:v>3.6353200000000002E-2</c:v>
                </c:pt>
                <c:pt idx="14">
                  <c:v>3.4820200000000003E-2</c:v>
                </c:pt>
                <c:pt idx="15">
                  <c:v>3.3199899999999997E-2</c:v>
                </c:pt>
                <c:pt idx="16">
                  <c:v>3.1499800000000001E-2</c:v>
                </c:pt>
                <c:pt idx="17">
                  <c:v>2.5535499999999999E-2</c:v>
                </c:pt>
                <c:pt idx="18">
                  <c:v>2.4006599999999999E-2</c:v>
                </c:pt>
                <c:pt idx="19">
                  <c:v>2.24718E-2</c:v>
                </c:pt>
                <c:pt idx="20">
                  <c:v>2.0940199999999999E-2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E5D-4574-A3BE-5495599EB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034752"/>
        <c:axId val="282035328"/>
      </c:scatterChart>
      <c:valAx>
        <c:axId val="28203475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282035328"/>
        <c:crosses val="autoZero"/>
        <c:crossBetween val="midCat"/>
      </c:valAx>
      <c:valAx>
        <c:axId val="282035328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034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friction gradient</a:t>
            </a:r>
            <a:r>
              <a:rPr lang="ru-RU"/>
              <a:t>, атм/м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33991367192845"/>
          <c:y val="0.18598299010700589"/>
          <c:w val="0.82335435558706815"/>
          <c:h val="0.78484226731273976"/>
        </c:manualLayout>
      </c:layout>
      <c:scatterChart>
        <c:scatterStyle val="lineMarker"/>
        <c:varyColors val="0"/>
        <c:ser>
          <c:idx val="0"/>
          <c:order val="0"/>
          <c:xVal>
            <c:numRef>
              <c:f>Лист1!$I$10:$I$30</c:f>
              <c:numCache>
                <c:formatCode>General</c:formatCode>
                <c:ptCount val="21"/>
                <c:pt idx="0">
                  <c:v>6.851399370186444E-4</c:v>
                </c:pt>
                <c:pt idx="1">
                  <c:v>6.1820522311315039E-4</c:v>
                </c:pt>
                <c:pt idx="2">
                  <c:v>5.6067497614401278E-4</c:v>
                </c:pt>
                <c:pt idx="3">
                  <c:v>6.0756082601894383E-4</c:v>
                </c:pt>
                <c:pt idx="4">
                  <c:v>5.3919792771664748E-4</c:v>
                </c:pt>
                <c:pt idx="5">
                  <c:v>4.8255059447654161E-4</c:v>
                </c:pt>
                <c:pt idx="6">
                  <c:v>4.3531477906047489E-4</c:v>
                </c:pt>
                <c:pt idx="7">
                  <c:v>3.9573230735031906E-4</c:v>
                </c:pt>
                <c:pt idx="8">
                  <c:v>3.6241780938221725E-4</c:v>
                </c:pt>
                <c:pt idx="9">
                  <c:v>3.3426736815273396E-4</c:v>
                </c:pt>
                <c:pt idx="10">
                  <c:v>3.1039285957442509E-4</c:v>
                </c:pt>
                <c:pt idx="11">
                  <c:v>2.9007573848311829E-4</c:v>
                </c:pt>
                <c:pt idx="12">
                  <c:v>2.7272991994015008E-4</c:v>
                </c:pt>
                <c:pt idx="13">
                  <c:v>2.5787500048047316E-4</c:v>
                </c:pt>
                <c:pt idx="14">
                  <c:v>2.4511590074243443E-4</c:v>
                </c:pt>
                <c:pt idx="15">
                  <c:v>2.3412635580272772E-4</c:v>
                </c:pt>
                <c:pt idx="16">
                  <c:v>2.2463491512972306E-4</c:v>
                </c:pt>
                <c:pt idx="17">
                  <c:v>2.1641656902676566E-4</c:v>
                </c:pt>
                <c:pt idx="18">
                  <c:v>2.092834759801219E-4</c:v>
                </c:pt>
                <c:pt idx="19">
                  <c:v>2.0307847554916391E-4</c:v>
                </c:pt>
                <c:pt idx="20">
                  <c:v>1.9767009912997717E-4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2E1-41DD-9D70-0988FD259937}"/>
            </c:ext>
          </c:extLst>
        </c:ser>
        <c:ser>
          <c:idx val="1"/>
          <c:order val="1"/>
          <c:xVal>
            <c:numRef>
              <c:f>Лист1!$H$63:$H$83</c:f>
              <c:numCache>
                <c:formatCode>0.00E+00</c:formatCode>
                <c:ptCount val="21"/>
                <c:pt idx="0">
                  <c:v>1.7268599999999999E-4</c:v>
                </c:pt>
                <c:pt idx="1">
                  <c:v>1.78424E-4</c:v>
                </c:pt>
                <c:pt idx="2">
                  <c:v>1.84613E-4</c:v>
                </c:pt>
                <c:pt idx="3">
                  <c:v>1.9165799999999999E-4</c:v>
                </c:pt>
                <c:pt idx="4">
                  <c:v>1.9969599999999999E-4</c:v>
                </c:pt>
                <c:pt idx="5">
                  <c:v>2.08889E-4</c:v>
                </c:pt>
                <c:pt idx="6">
                  <c:v>2.1943E-4</c:v>
                </c:pt>
                <c:pt idx="7">
                  <c:v>2.3155199999999999E-4</c:v>
                </c:pt>
                <c:pt idx="8">
                  <c:v>2.4553299999999998E-4</c:v>
                </c:pt>
                <c:pt idx="9">
                  <c:v>2.6171099999999997E-4</c:v>
                </c:pt>
                <c:pt idx="10">
                  <c:v>2.8049800000000001E-4</c:v>
                </c:pt>
                <c:pt idx="11">
                  <c:v>3.0247E-4</c:v>
                </c:pt>
                <c:pt idx="12">
                  <c:v>3.2823100000000001E-4</c:v>
                </c:pt>
                <c:pt idx="13">
                  <c:v>3.58549E-4</c:v>
                </c:pt>
                <c:pt idx="14">
                  <c:v>3.94418E-4</c:v>
                </c:pt>
                <c:pt idx="15">
                  <c:v>4.3710899999999998E-4</c:v>
                </c:pt>
                <c:pt idx="16">
                  <c:v>4.8827700000000001E-4</c:v>
                </c:pt>
                <c:pt idx="17">
                  <c:v>4.6924199999999998E-4</c:v>
                </c:pt>
                <c:pt idx="18">
                  <c:v>5.1770099999999997E-4</c:v>
                </c:pt>
                <c:pt idx="19">
                  <c:v>5.7538100000000003E-4</c:v>
                </c:pt>
                <c:pt idx="20">
                  <c:v>6.4339499999999995E-4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2E1-41DD-9D70-0988FD259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038208"/>
        <c:axId val="282038784"/>
      </c:scatterChart>
      <c:valAx>
        <c:axId val="28203820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282038784"/>
        <c:crosses val="autoZero"/>
        <c:crossBetween val="midCat"/>
      </c:valAx>
      <c:valAx>
        <c:axId val="282038784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03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acceleration gradient</a:t>
            </a:r>
            <a:r>
              <a:rPr lang="ru-RU"/>
              <a:t>, атм/м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5131929937933003"/>
          <c:y val="0.20463872482816609"/>
          <c:w val="0.72729595287116211"/>
          <c:h val="0.77763662562381231"/>
        </c:manualLayout>
      </c:layout>
      <c:scatterChart>
        <c:scatterStyle val="lineMarker"/>
        <c:varyColors val="0"/>
        <c:ser>
          <c:idx val="0"/>
          <c:order val="0"/>
          <c:xVal>
            <c:numRef>
              <c:f>Лист1!$J$10:$J$30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EF8-4E25-97A4-ED6270F303A5}"/>
            </c:ext>
          </c:extLst>
        </c:ser>
        <c:ser>
          <c:idx val="1"/>
          <c:order val="1"/>
          <c:xVal>
            <c:numRef>
              <c:f>Лист1!$I$63:$I$83</c:f>
              <c:numCache>
                <c:formatCode>0.00E+00</c:formatCode>
                <c:ptCount val="21"/>
                <c:pt idx="0">
                  <c:v>2.92394E-8</c:v>
                </c:pt>
                <c:pt idx="1">
                  <c:v>2.2334399999999998E-8</c:v>
                </c:pt>
                <c:pt idx="2">
                  <c:v>2.47385E-8</c:v>
                </c:pt>
                <c:pt idx="3">
                  <c:v>2.7486799999999999E-8</c:v>
                </c:pt>
                <c:pt idx="4">
                  <c:v>3.0639199999999998E-8</c:v>
                </c:pt>
                <c:pt idx="5">
                  <c:v>3.4267900000000001E-8</c:v>
                </c:pt>
                <c:pt idx="6">
                  <c:v>3.8459799999999997E-8</c:v>
                </c:pt>
                <c:pt idx="7">
                  <c:v>4.3320500000000001E-8</c:v>
                </c:pt>
                <c:pt idx="8">
                  <c:v>4.89788E-8</c:v>
                </c:pt>
                <c:pt idx="9">
                  <c:v>5.5591999999999999E-8</c:v>
                </c:pt>
                <c:pt idx="10">
                  <c:v>6.3353800000000002E-8</c:v>
                </c:pt>
                <c:pt idx="11">
                  <c:v>7.25214E-8</c:v>
                </c:pt>
                <c:pt idx="12">
                  <c:v>8.3398200000000001E-8</c:v>
                </c:pt>
                <c:pt idx="13">
                  <c:v>9.6354899999999999E-8</c:v>
                </c:pt>
                <c:pt idx="14">
                  <c:v>1.11873E-7</c:v>
                </c:pt>
                <c:pt idx="15">
                  <c:v>1.3056700000000001E-7</c:v>
                </c:pt>
                <c:pt idx="16">
                  <c:v>1.5323700000000001E-7</c:v>
                </c:pt>
                <c:pt idx="17">
                  <c:v>1.49518E-7</c:v>
                </c:pt>
                <c:pt idx="18">
                  <c:v>1.7096099999999999E-7</c:v>
                </c:pt>
                <c:pt idx="19">
                  <c:v>1.9635999999999999E-7</c:v>
                </c:pt>
                <c:pt idx="20">
                  <c:v>2.2646700000000001E-7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EF8-4E25-97A4-ED6270F30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040512"/>
        <c:axId val="282041088"/>
      </c:scatterChart>
      <c:valAx>
        <c:axId val="28204051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282041088"/>
        <c:crosses val="autoZero"/>
        <c:crossBetween val="midCat"/>
      </c:valAx>
      <c:valAx>
        <c:axId val="282041088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040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vsl</a:t>
            </a:r>
            <a:r>
              <a:rPr lang="ru-RU"/>
              <a:t>, м/с</a:t>
            </a:r>
          </a:p>
        </c:rich>
      </c:tx>
      <c:layout>
        <c:manualLayout>
          <c:xMode val="edge"/>
          <c:yMode val="edge"/>
          <c:x val="0.51653916483188411"/>
          <c:y val="2.2435897435897436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dPt>
            <c:idx val="1"/>
            <c:bubble3D val="0"/>
            <c:spPr>
              <a:ln w="25400">
                <a:miter lim="800000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4F9-46A8-9743-095DF9C30A7D}"/>
              </c:ext>
            </c:extLst>
          </c:dPt>
          <c:dPt>
            <c:idx val="7"/>
            <c:marker>
              <c:symbol val="diamond"/>
              <c:size val="5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A4F9-46A8-9743-095DF9C30A7D}"/>
              </c:ext>
            </c:extLst>
          </c:dPt>
          <c:xVal>
            <c:numRef>
              <c:f>Лист1!$K$10:$K$30</c:f>
              <c:numCache>
                <c:formatCode>General</c:formatCode>
                <c:ptCount val="21"/>
                <c:pt idx="0">
                  <c:v>0.19674025384910576</c:v>
                </c:pt>
                <c:pt idx="1">
                  <c:v>0.1982826283504141</c:v>
                </c:pt>
                <c:pt idx="2">
                  <c:v>0.19989343024927089</c:v>
                </c:pt>
                <c:pt idx="3">
                  <c:v>0.20161970892685935</c:v>
                </c:pt>
                <c:pt idx="4">
                  <c:v>0.2035422806620599</c:v>
                </c:pt>
                <c:pt idx="5">
                  <c:v>0.20554023110808614</c:v>
                </c:pt>
                <c:pt idx="6">
                  <c:v>0.20760744028616376</c:v>
                </c:pt>
                <c:pt idx="7">
                  <c:v>0.20973713745367942</c:v>
                </c:pt>
                <c:pt idx="8">
                  <c:v>0.21192208022486633</c:v>
                </c:pt>
                <c:pt idx="9">
                  <c:v>0.2141547174733576</c:v>
                </c:pt>
                <c:pt idx="10">
                  <c:v>0.21642735523074921</c:v>
                </c:pt>
                <c:pt idx="11">
                  <c:v>0.21873231335169974</c:v>
                </c:pt>
                <c:pt idx="12">
                  <c:v>0.22106206523370084</c:v>
                </c:pt>
                <c:pt idx="13">
                  <c:v>0.22340935702394205</c:v>
                </c:pt>
                <c:pt idx="14">
                  <c:v>0.22576730276486121</c:v>
                </c:pt>
                <c:pt idx="15">
                  <c:v>0.22812945455085662</c:v>
                </c:pt>
                <c:pt idx="16">
                  <c:v>0.2304898514591501</c:v>
                </c:pt>
                <c:pt idx="17">
                  <c:v>0.23284304640532241</c:v>
                </c:pt>
                <c:pt idx="18">
                  <c:v>0.23518411647860188</c:v>
                </c:pt>
                <c:pt idx="19">
                  <c:v>0.23750865838380758</c:v>
                </c:pt>
                <c:pt idx="20">
                  <c:v>0.23981277423113143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4F9-46A8-9743-095DF9C30A7D}"/>
            </c:ext>
          </c:extLst>
        </c:ser>
        <c:ser>
          <c:idx val="1"/>
          <c:order val="1"/>
          <c:xVal>
            <c:numRef>
              <c:f>Лист1!$J$63:$J$83</c:f>
              <c:numCache>
                <c:formatCode>0.00E+00</c:formatCode>
                <c:ptCount val="21"/>
                <c:pt idx="0">
                  <c:v>0.2387</c:v>
                </c:pt>
                <c:pt idx="1">
                  <c:v>0.23649999999999999</c:v>
                </c:pt>
                <c:pt idx="2">
                  <c:v>0.23430000000000001</c:v>
                </c:pt>
                <c:pt idx="3">
                  <c:v>0.23200000000000001</c:v>
                </c:pt>
                <c:pt idx="4">
                  <c:v>0.2298</c:v>
                </c:pt>
                <c:pt idx="5">
                  <c:v>0.22750000000000001</c:v>
                </c:pt>
                <c:pt idx="6">
                  <c:v>0.2253</c:v>
                </c:pt>
                <c:pt idx="7">
                  <c:v>0.223</c:v>
                </c:pt>
                <c:pt idx="8">
                  <c:v>0.2208</c:v>
                </c:pt>
                <c:pt idx="9">
                  <c:v>0.21859999999999999</c:v>
                </c:pt>
                <c:pt idx="10">
                  <c:v>0.21640000000000001</c:v>
                </c:pt>
                <c:pt idx="11">
                  <c:v>0.2142</c:v>
                </c:pt>
                <c:pt idx="12">
                  <c:v>0.21210000000000001</c:v>
                </c:pt>
                <c:pt idx="13">
                  <c:v>0.21</c:v>
                </c:pt>
                <c:pt idx="14">
                  <c:v>0.20799999999999999</c:v>
                </c:pt>
                <c:pt idx="15">
                  <c:v>0.20599999999999999</c:v>
                </c:pt>
                <c:pt idx="16">
                  <c:v>0.2041</c:v>
                </c:pt>
                <c:pt idx="17">
                  <c:v>0.20230000000000001</c:v>
                </c:pt>
                <c:pt idx="18">
                  <c:v>0.20069999999999999</c:v>
                </c:pt>
                <c:pt idx="19">
                  <c:v>0.1991</c:v>
                </c:pt>
                <c:pt idx="20">
                  <c:v>0.1976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4F9-46A8-9743-095DF9C30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402816"/>
        <c:axId val="283403392"/>
      </c:scatterChart>
      <c:valAx>
        <c:axId val="28340281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283403392"/>
        <c:crosses val="autoZero"/>
        <c:crossBetween val="midCat"/>
      </c:valAx>
      <c:valAx>
        <c:axId val="283403392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3402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vsg</a:t>
            </a:r>
            <a:r>
              <a:rPr lang="ru-RU"/>
              <a:t>, м/с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186292944174922"/>
          <c:y val="0.15188864516070871"/>
          <c:w val="0.84614495772915144"/>
          <c:h val="0.83292286267664495"/>
        </c:manualLayout>
      </c:layout>
      <c:scatterChart>
        <c:scatterStyle val="lineMarker"/>
        <c:varyColors val="0"/>
        <c:ser>
          <c:idx val="0"/>
          <c:order val="0"/>
          <c:dPt>
            <c:idx val="1"/>
            <c:bubble3D val="0"/>
            <c:spPr>
              <a:ln w="25400">
                <a:miter lim="800000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863-46E9-885B-2F3006B38CE8}"/>
              </c:ext>
            </c:extLst>
          </c:dPt>
          <c:dPt>
            <c:idx val="7"/>
            <c:marker>
              <c:symbol val="diamond"/>
              <c:size val="5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4863-46E9-885B-2F3006B38CE8}"/>
              </c:ext>
            </c:extLst>
          </c:dPt>
          <c:xVal>
            <c:numRef>
              <c:f>Лист1!$L$10:$L$30</c:f>
              <c:numCache>
                <c:formatCode>General</c:formatCode>
                <c:ptCount val="21"/>
                <c:pt idx="0">
                  <c:v>0.94046588577415047</c:v>
                </c:pt>
                <c:pt idx="1">
                  <c:v>0.84215636604507282</c:v>
                </c:pt>
                <c:pt idx="2">
                  <c:v>0.75657965681655182</c:v>
                </c:pt>
                <c:pt idx="3">
                  <c:v>0.67721405038385563</c:v>
                </c:pt>
                <c:pt idx="4">
                  <c:v>0.59876219782005458</c:v>
                </c:pt>
                <c:pt idx="5">
                  <c:v>0.53210211577127453</c:v>
                </c:pt>
                <c:pt idx="6">
                  <c:v>0.47516595010448276</c:v>
                </c:pt>
                <c:pt idx="7">
                  <c:v>0.42630688784161186</c:v>
                </c:pt>
                <c:pt idx="8">
                  <c:v>0.38420082993854798</c:v>
                </c:pt>
                <c:pt idx="9">
                  <c:v>0.34777133144080985</c:v>
                </c:pt>
                <c:pt idx="10">
                  <c:v>0.31613487433157827</c:v>
                </c:pt>
                <c:pt idx="11">
                  <c:v>0.2885627852792314</c:v>
                </c:pt>
                <c:pt idx="12">
                  <c:v>0.26444906841735699</c:v>
                </c:pt>
                <c:pt idx="13">
                  <c:v>0.24328749636392522</c:v>
                </c:pt>
                <c:pt idx="14">
                  <c:v>0.22465413277334115</c:v>
                </c:pt>
                <c:pt idx="15">
                  <c:v>0.20819266073023274</c:v>
                </c:pt>
                <c:pt idx="16">
                  <c:v>0.19360122746076749</c:v>
                </c:pt>
                <c:pt idx="17">
                  <c:v>0.18062568962560677</c:v>
                </c:pt>
                <c:pt idx="18">
                  <c:v>0.16905049930769464</c:v>
                </c:pt>
                <c:pt idx="19">
                  <c:v>0.15869260484960357</c:v>
                </c:pt>
                <c:pt idx="20">
                  <c:v>0.14939680664957164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63-46E9-885B-2F3006B38CE8}"/>
            </c:ext>
          </c:extLst>
        </c:ser>
        <c:ser>
          <c:idx val="1"/>
          <c:order val="1"/>
          <c:xVal>
            <c:numRef>
              <c:f>Лист1!$K$63:$K$83</c:f>
              <c:numCache>
                <c:formatCode>0.00E+00</c:formatCode>
                <c:ptCount val="21"/>
                <c:pt idx="0">
                  <c:v>0.16930000000000001</c:v>
                </c:pt>
                <c:pt idx="1">
                  <c:v>0.1804</c:v>
                </c:pt>
                <c:pt idx="2">
                  <c:v>0.192</c:v>
                </c:pt>
                <c:pt idx="3">
                  <c:v>0.2049</c:v>
                </c:pt>
                <c:pt idx="4">
                  <c:v>0.21929999999999999</c:v>
                </c:pt>
                <c:pt idx="5">
                  <c:v>0.2354</c:v>
                </c:pt>
                <c:pt idx="6">
                  <c:v>0.25340000000000001</c:v>
                </c:pt>
                <c:pt idx="7">
                  <c:v>0.2737</c:v>
                </c:pt>
                <c:pt idx="8">
                  <c:v>0.29649999999999999</c:v>
                </c:pt>
                <c:pt idx="9">
                  <c:v>0.32219999999999999</c:v>
                </c:pt>
                <c:pt idx="10">
                  <c:v>0.35139999999999999</c:v>
                </c:pt>
                <c:pt idx="11">
                  <c:v>0.3846</c:v>
                </c:pt>
                <c:pt idx="12">
                  <c:v>0.42259999999999998</c:v>
                </c:pt>
                <c:pt idx="13">
                  <c:v>0.46600000000000003</c:v>
                </c:pt>
                <c:pt idx="14">
                  <c:v>0.51600000000000001</c:v>
                </c:pt>
                <c:pt idx="15">
                  <c:v>0.57379999999999998</c:v>
                </c:pt>
                <c:pt idx="16">
                  <c:v>0.64090000000000003</c:v>
                </c:pt>
                <c:pt idx="17">
                  <c:v>0.71909999999999996</c:v>
                </c:pt>
                <c:pt idx="18">
                  <c:v>0.79379999999999995</c:v>
                </c:pt>
                <c:pt idx="19">
                  <c:v>0.87890000000000001</c:v>
                </c:pt>
                <c:pt idx="20">
                  <c:v>0.97609999999999997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4863-46E9-885B-2F3006B38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405120"/>
        <c:axId val="283405696"/>
      </c:scatterChart>
      <c:valAx>
        <c:axId val="283405120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283405696"/>
        <c:crosses val="autoZero"/>
        <c:crossBetween val="midCat"/>
      </c:valAx>
      <c:valAx>
        <c:axId val="283405696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3405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liquid hold up</a:t>
            </a:r>
            <a:endParaRPr lang="ru-RU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dPt>
            <c:idx val="1"/>
            <c:bubble3D val="0"/>
            <c:spPr>
              <a:ln w="25400">
                <a:miter lim="800000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5FF-4A0E-9623-CDCEB1440159}"/>
              </c:ext>
            </c:extLst>
          </c:dPt>
          <c:dPt>
            <c:idx val="7"/>
            <c:marker>
              <c:symbol val="diamond"/>
              <c:size val="5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C5FF-4A0E-9623-CDCEB1440159}"/>
              </c:ext>
            </c:extLst>
          </c:dPt>
          <c:xVal>
            <c:numRef>
              <c:f>Лист1!$M$10:$M$30</c:f>
              <c:numCache>
                <c:formatCode>General</c:formatCode>
                <c:ptCount val="21"/>
                <c:pt idx="0">
                  <c:v>0.3409066683513573</c:v>
                </c:pt>
                <c:pt idx="1">
                  <c:v>0.36140187582032834</c:v>
                </c:pt>
                <c:pt idx="2">
                  <c:v>0.38232014044478801</c:v>
                </c:pt>
                <c:pt idx="3">
                  <c:v>0.4752945685790948</c:v>
                </c:pt>
                <c:pt idx="4">
                  <c:v>0.50030873234990425</c:v>
                </c:pt>
                <c:pt idx="5">
                  <c:v>0.52496681967678138</c:v>
                </c:pt>
                <c:pt idx="6">
                  <c:v>0.54905011910061363</c:v>
                </c:pt>
                <c:pt idx="7">
                  <c:v>0.57239704901734501</c:v>
                </c:pt>
                <c:pt idx="8">
                  <c:v>0.59487262060931656</c:v>
                </c:pt>
                <c:pt idx="9">
                  <c:v>0.61637117508987072</c:v>
                </c:pt>
                <c:pt idx="10">
                  <c:v>0.63681726507967062</c:v>
                </c:pt>
                <c:pt idx="11">
                  <c:v>0.65616312481915973</c:v>
                </c:pt>
                <c:pt idx="12">
                  <c:v>0.67438707948840226</c:v>
                </c:pt>
                <c:pt idx="13">
                  <c:v>0.69148987031899334</c:v>
                </c:pt>
                <c:pt idx="14">
                  <c:v>0.70749016402371323</c:v>
                </c:pt>
                <c:pt idx="15">
                  <c:v>0.72242067640631535</c:v>
                </c:pt>
                <c:pt idx="16">
                  <c:v>0.73632582405297109</c:v>
                </c:pt>
                <c:pt idx="17">
                  <c:v>0.74925615140057633</c:v>
                </c:pt>
                <c:pt idx="18">
                  <c:v>0.76126667409675708</c:v>
                </c:pt>
                <c:pt idx="19">
                  <c:v>0.77241439153316893</c:v>
                </c:pt>
                <c:pt idx="20">
                  <c:v>0.78275587949159031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5FF-4A0E-9623-CDCEB1440159}"/>
            </c:ext>
          </c:extLst>
        </c:ser>
        <c:ser>
          <c:idx val="1"/>
          <c:order val="1"/>
          <c:xVal>
            <c:numRef>
              <c:f>Лист1!$L$63:$L$83</c:f>
              <c:numCache>
                <c:formatCode>General</c:formatCode>
                <c:ptCount val="21"/>
                <c:pt idx="0">
                  <c:v>0.75429999999999997</c:v>
                </c:pt>
                <c:pt idx="1">
                  <c:v>0.74260000000000004</c:v>
                </c:pt>
                <c:pt idx="2">
                  <c:v>0.73080000000000001</c:v>
                </c:pt>
                <c:pt idx="3">
                  <c:v>0.71819999999999995</c:v>
                </c:pt>
                <c:pt idx="4">
                  <c:v>0.70479999999999998</c:v>
                </c:pt>
                <c:pt idx="5">
                  <c:v>0.6905</c:v>
                </c:pt>
                <c:pt idx="6">
                  <c:v>0.67530000000000001</c:v>
                </c:pt>
                <c:pt idx="7">
                  <c:v>0.6593</c:v>
                </c:pt>
                <c:pt idx="8">
                  <c:v>0.64229999999999998</c:v>
                </c:pt>
                <c:pt idx="9">
                  <c:v>0.62450000000000006</c:v>
                </c:pt>
                <c:pt idx="10">
                  <c:v>0.60580000000000001</c:v>
                </c:pt>
                <c:pt idx="11">
                  <c:v>0.58630000000000004</c:v>
                </c:pt>
                <c:pt idx="12">
                  <c:v>0.56620000000000004</c:v>
                </c:pt>
                <c:pt idx="13">
                  <c:v>0.54530000000000001</c:v>
                </c:pt>
                <c:pt idx="14">
                  <c:v>0.52370000000000005</c:v>
                </c:pt>
                <c:pt idx="15">
                  <c:v>0.50170000000000003</c:v>
                </c:pt>
                <c:pt idx="16">
                  <c:v>0.47920000000000001</c:v>
                </c:pt>
                <c:pt idx="17">
                  <c:v>0.39350000000000002</c:v>
                </c:pt>
                <c:pt idx="18">
                  <c:v>0.37369999999999998</c:v>
                </c:pt>
                <c:pt idx="19">
                  <c:v>0.35410000000000003</c:v>
                </c:pt>
                <c:pt idx="20">
                  <c:v>0.33489999999999998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5FF-4A0E-9623-CDCEB1440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407424"/>
        <c:axId val="283408000"/>
      </c:scatterChart>
      <c:valAx>
        <c:axId val="283407424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283408000"/>
        <c:crosses val="autoZero"/>
        <c:crossBetween val="midCat"/>
      </c:valAx>
      <c:valAx>
        <c:axId val="283408000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3407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T, C</a:t>
            </a:r>
            <a:endParaRPr lang="ru-RU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dPt>
            <c:idx val="1"/>
            <c:bubble3D val="0"/>
            <c:spPr>
              <a:ln w="25400">
                <a:miter lim="800000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DF4-49DD-A93E-721E5ADDE963}"/>
              </c:ext>
            </c:extLst>
          </c:dPt>
          <c:dPt>
            <c:idx val="7"/>
            <c:marker>
              <c:symbol val="diamond"/>
              <c:size val="5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0DF4-49DD-A93E-721E5ADDE963}"/>
              </c:ext>
            </c:extLst>
          </c:dPt>
          <c:xVal>
            <c:numRef>
              <c:f>Лист1!$N$10:$N$30</c:f>
              <c:numCache>
                <c:formatCode>General</c:formatCode>
                <c:ptCount val="21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  <c:pt idx="15">
                  <c:v>95</c:v>
                </c:pt>
                <c:pt idx="16">
                  <c:v>100</c:v>
                </c:pt>
                <c:pt idx="17">
                  <c:v>105</c:v>
                </c:pt>
                <c:pt idx="18">
                  <c:v>110</c:v>
                </c:pt>
                <c:pt idx="19">
                  <c:v>115</c:v>
                </c:pt>
                <c:pt idx="20">
                  <c:v>120</c:v>
                </c:pt>
              </c:numCache>
            </c:numRef>
          </c:xVal>
          <c:yVal>
            <c:numRef>
              <c:f>Лист1!$F$10:$F$30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F4-49DD-A93E-721E5ADDE963}"/>
            </c:ext>
          </c:extLst>
        </c:ser>
        <c:ser>
          <c:idx val="1"/>
          <c:order val="1"/>
          <c:xVal>
            <c:numRef>
              <c:f>Лист1!$M$63:$M$83</c:f>
              <c:numCache>
                <c:formatCode>General</c:formatCode>
                <c:ptCount val="21"/>
                <c:pt idx="0">
                  <c:v>120</c:v>
                </c:pt>
                <c:pt idx="1">
                  <c:v>115.5274</c:v>
                </c:pt>
                <c:pt idx="2">
                  <c:v>110.5274</c:v>
                </c:pt>
                <c:pt idx="3">
                  <c:v>105.5275</c:v>
                </c:pt>
                <c:pt idx="4">
                  <c:v>100.5275</c:v>
                </c:pt>
                <c:pt idx="5">
                  <c:v>95.527500000000003</c:v>
                </c:pt>
                <c:pt idx="6">
                  <c:v>90.527500000000003</c:v>
                </c:pt>
                <c:pt idx="7">
                  <c:v>85.527500000000003</c:v>
                </c:pt>
                <c:pt idx="8">
                  <c:v>80.5274</c:v>
                </c:pt>
                <c:pt idx="9">
                  <c:v>75.5274</c:v>
                </c:pt>
                <c:pt idx="10">
                  <c:v>70.527299999999997</c:v>
                </c:pt>
                <c:pt idx="11">
                  <c:v>65.527199999999993</c:v>
                </c:pt>
                <c:pt idx="12">
                  <c:v>60.527099999999997</c:v>
                </c:pt>
                <c:pt idx="13">
                  <c:v>55.527000000000001</c:v>
                </c:pt>
                <c:pt idx="14">
                  <c:v>50.526800000000001</c:v>
                </c:pt>
                <c:pt idx="15">
                  <c:v>45.526600000000002</c:v>
                </c:pt>
                <c:pt idx="16">
                  <c:v>40.526400000000002</c:v>
                </c:pt>
                <c:pt idx="17">
                  <c:v>35.526299999999999</c:v>
                </c:pt>
                <c:pt idx="18">
                  <c:v>30.525500000000001</c:v>
                </c:pt>
                <c:pt idx="19">
                  <c:v>25.525300000000001</c:v>
                </c:pt>
                <c:pt idx="20">
                  <c:v>20.524999999999999</c:v>
                </c:pt>
              </c:numCache>
            </c:numRef>
          </c:xVal>
          <c:yVal>
            <c:numRef>
              <c:f>Лист1!$AF$10:$AF$30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DF4-49DD-A93E-721E5ADDE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409728"/>
        <c:axId val="283828224"/>
      </c:scatterChart>
      <c:valAx>
        <c:axId val="28340972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283828224"/>
        <c:crosses val="autoZero"/>
        <c:crossBetween val="midCat"/>
      </c:valAx>
      <c:valAx>
        <c:axId val="283828224"/>
        <c:scaling>
          <c:orientation val="maxMin"/>
          <c:max val="2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3409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0</xdr:rowOff>
        </xdr:from>
        <xdr:to>
          <xdr:col>9</xdr:col>
          <xdr:colOff>666750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 параметры потока в трубе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247171</xdr:colOff>
      <xdr:row>30</xdr:row>
      <xdr:rowOff>179293</xdr:rowOff>
    </xdr:from>
    <xdr:to>
      <xdr:col>4</xdr:col>
      <xdr:colOff>364192</xdr:colOff>
      <xdr:row>57</xdr:row>
      <xdr:rowOff>138472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114344</xdr:colOff>
      <xdr:row>3</xdr:row>
      <xdr:rowOff>152081</xdr:rowOff>
    </xdr:from>
    <xdr:to>
      <xdr:col>20</xdr:col>
      <xdr:colOff>21648</xdr:colOff>
      <xdr:row>30</xdr:row>
      <xdr:rowOff>97651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121228</xdr:colOff>
      <xdr:row>3</xdr:row>
      <xdr:rowOff>149679</xdr:rowOff>
    </xdr:from>
    <xdr:to>
      <xdr:col>25</xdr:col>
      <xdr:colOff>138545</xdr:colOff>
      <xdr:row>30</xdr:row>
      <xdr:rowOff>108857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207817</xdr:colOff>
      <xdr:row>3</xdr:row>
      <xdr:rowOff>149678</xdr:rowOff>
    </xdr:from>
    <xdr:to>
      <xdr:col>30</xdr:col>
      <xdr:colOff>340178</xdr:colOff>
      <xdr:row>30</xdr:row>
      <xdr:rowOff>95249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394607</xdr:colOff>
      <xdr:row>30</xdr:row>
      <xdr:rowOff>176892</xdr:rowOff>
    </xdr:from>
    <xdr:to>
      <xdr:col>21</xdr:col>
      <xdr:colOff>489858</xdr:colOff>
      <xdr:row>57</xdr:row>
      <xdr:rowOff>163285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598714</xdr:colOff>
      <xdr:row>31</xdr:row>
      <xdr:rowOff>13606</xdr:rowOff>
    </xdr:from>
    <xdr:to>
      <xdr:col>28</xdr:col>
      <xdr:colOff>231322</xdr:colOff>
      <xdr:row>57</xdr:row>
      <xdr:rowOff>163285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40820</xdr:colOff>
      <xdr:row>31</xdr:row>
      <xdr:rowOff>54427</xdr:rowOff>
    </xdr:from>
    <xdr:to>
      <xdr:col>15</xdr:col>
      <xdr:colOff>326572</xdr:colOff>
      <xdr:row>57</xdr:row>
      <xdr:rowOff>163284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550332</xdr:colOff>
      <xdr:row>31</xdr:row>
      <xdr:rowOff>12096</xdr:rowOff>
    </xdr:from>
    <xdr:to>
      <xdr:col>9</xdr:col>
      <xdr:colOff>740833</xdr:colOff>
      <xdr:row>57</xdr:row>
      <xdr:rowOff>148168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T107"/>
  <sheetViews>
    <sheetView tabSelected="1" topLeftCell="A14" zoomScale="90" zoomScaleNormal="90" workbookViewId="0">
      <selection activeCell="Q64" sqref="Q64"/>
    </sheetView>
  </sheetViews>
  <sheetFormatPr defaultRowHeight="15" x14ac:dyDescent="0.25"/>
  <cols>
    <col min="2" max="2" width="15.42578125" customWidth="1"/>
    <col min="3" max="3" width="14.7109375" customWidth="1"/>
    <col min="6" max="6" width="10.7109375" bestFit="1" customWidth="1"/>
    <col min="7" max="7" width="9.7109375" bestFit="1" customWidth="1"/>
    <col min="8" max="8" width="9.28515625" bestFit="1" customWidth="1"/>
    <col min="9" max="9" width="12.140625" bestFit="1" customWidth="1"/>
    <col min="10" max="10" width="12" bestFit="1" customWidth="1"/>
    <col min="11" max="13" width="9.28515625" bestFit="1" customWidth="1"/>
    <col min="28" max="28" width="12.7109375" bestFit="1" customWidth="1"/>
    <col min="36" max="36" width="13" bestFit="1" customWidth="1"/>
    <col min="38" max="38" width="9.140625" customWidth="1"/>
  </cols>
  <sheetData>
    <row r="1" spans="1:46" x14ac:dyDescent="0.25">
      <c r="A1" t="s">
        <v>30</v>
      </c>
    </row>
    <row r="2" spans="1:46" x14ac:dyDescent="0.25">
      <c r="A2" t="s">
        <v>31</v>
      </c>
    </row>
    <row r="3" spans="1:46" x14ac:dyDescent="0.25">
      <c r="A3" t="s">
        <v>32</v>
      </c>
    </row>
    <row r="7" spans="1:46" x14ac:dyDescent="0.25">
      <c r="B7" s="15" t="s">
        <v>33</v>
      </c>
      <c r="C7" s="15"/>
      <c r="F7" s="15" t="s">
        <v>34</v>
      </c>
      <c r="G7" s="15"/>
      <c r="H7" s="15"/>
      <c r="I7" s="15"/>
      <c r="J7" s="15"/>
      <c r="K7" s="15"/>
      <c r="L7" s="15"/>
      <c r="M7" s="15"/>
      <c r="N7" s="15"/>
      <c r="O7" s="17"/>
      <c r="AF7" s="2" t="s">
        <v>28</v>
      </c>
      <c r="AG7" s="2" t="s">
        <v>36</v>
      </c>
      <c r="AH7" s="2"/>
      <c r="AI7" s="2"/>
      <c r="AJ7" s="2"/>
      <c r="AK7" s="2"/>
      <c r="AL7" s="2"/>
      <c r="AM7" s="2"/>
      <c r="AN7" s="2"/>
    </row>
    <row r="8" spans="1:46" x14ac:dyDescent="0.25">
      <c r="F8" s="3" t="s">
        <v>19</v>
      </c>
      <c r="G8" s="3" t="s">
        <v>20</v>
      </c>
      <c r="H8" s="3" t="s">
        <v>21</v>
      </c>
      <c r="I8" s="3" t="s">
        <v>22</v>
      </c>
      <c r="J8" s="3" t="s">
        <v>23</v>
      </c>
      <c r="K8" s="3" t="s">
        <v>24</v>
      </c>
      <c r="L8" s="3" t="s">
        <v>25</v>
      </c>
      <c r="M8" s="3" t="s">
        <v>26</v>
      </c>
      <c r="N8" s="3" t="s">
        <v>27</v>
      </c>
      <c r="O8" s="16"/>
      <c r="AF8" s="2" t="s">
        <v>37</v>
      </c>
      <c r="AG8" s="2"/>
      <c r="AH8" s="2"/>
      <c r="AI8" s="2"/>
      <c r="AJ8" s="2"/>
      <c r="AK8" s="2"/>
      <c r="AL8" s="2"/>
      <c r="AM8" s="2"/>
      <c r="AN8" s="2"/>
    </row>
    <row r="9" spans="1:46" x14ac:dyDescent="0.25">
      <c r="B9" s="3" t="s">
        <v>0</v>
      </c>
      <c r="C9" s="8">
        <v>50</v>
      </c>
      <c r="F9" s="3"/>
      <c r="G9" s="3"/>
      <c r="H9" s="3"/>
      <c r="I9" s="3"/>
      <c r="J9" s="3"/>
      <c r="K9" s="3"/>
      <c r="L9" s="3"/>
      <c r="M9" s="3"/>
      <c r="N9" s="3"/>
      <c r="O9" s="16"/>
      <c r="AF9" s="3" t="s">
        <v>19</v>
      </c>
      <c r="AG9" s="3" t="s">
        <v>20</v>
      </c>
      <c r="AH9" s="3" t="s">
        <v>21</v>
      </c>
      <c r="AI9" s="3" t="s">
        <v>22</v>
      </c>
      <c r="AJ9" s="3" t="s">
        <v>23</v>
      </c>
      <c r="AK9" s="3" t="s">
        <v>24</v>
      </c>
      <c r="AL9" s="3" t="s">
        <v>25</v>
      </c>
      <c r="AM9" s="3" t="s">
        <v>26</v>
      </c>
      <c r="AN9" s="3" t="s">
        <v>27</v>
      </c>
      <c r="AP9" s="13" t="s">
        <v>38</v>
      </c>
      <c r="AQ9" s="13" t="s">
        <v>39</v>
      </c>
      <c r="AR9" s="13" t="s">
        <v>40</v>
      </c>
      <c r="AS9" s="13" t="s">
        <v>41</v>
      </c>
      <c r="AT9" s="13" t="s">
        <v>24</v>
      </c>
    </row>
    <row r="10" spans="1:46" x14ac:dyDescent="0.25">
      <c r="B10" s="3" t="s">
        <v>1</v>
      </c>
      <c r="C10" s="8">
        <v>0</v>
      </c>
      <c r="F10">
        <v>0</v>
      </c>
      <c r="G10">
        <v>20</v>
      </c>
      <c r="H10">
        <v>2.1546667621770828E-2</v>
      </c>
      <c r="I10">
        <v>6.851399370186444E-4</v>
      </c>
      <c r="J10">
        <v>0</v>
      </c>
      <c r="K10">
        <v>0.19674025384910576</v>
      </c>
      <c r="L10">
        <v>0.94046588577415047</v>
      </c>
      <c r="M10">
        <v>0.3409066683513573</v>
      </c>
      <c r="N10">
        <v>20</v>
      </c>
      <c r="AF10" s="4">
        <f t="shared" ref="AF10:AF28" si="0">AF11+100</f>
        <v>2000</v>
      </c>
      <c r="AG10" s="4">
        <v>101.8395</v>
      </c>
      <c r="AH10" s="5">
        <v>5.32773E-2</v>
      </c>
      <c r="AI10" s="5">
        <v>5.0011200000000004E-4</v>
      </c>
      <c r="AJ10" s="5">
        <v>6.9916399999999997E-8</v>
      </c>
      <c r="AK10" s="4">
        <v>0.44409999999999999</v>
      </c>
      <c r="AL10" s="6">
        <v>0.2215</v>
      </c>
      <c r="AM10" s="4">
        <v>0.77780000000000005</v>
      </c>
      <c r="AN10" s="4">
        <v>120</v>
      </c>
      <c r="AP10">
        <v>139.71610000000001</v>
      </c>
      <c r="AQ10">
        <v>214.2088</v>
      </c>
      <c r="AR10">
        <v>204.97669999999999</v>
      </c>
      <c r="AS10">
        <v>1</v>
      </c>
      <c r="AT10">
        <v>0.40579999999999999</v>
      </c>
    </row>
    <row r="11" spans="1:46" x14ac:dyDescent="0.25">
      <c r="B11" s="3" t="s">
        <v>4</v>
      </c>
      <c r="C11" s="8">
        <v>20</v>
      </c>
      <c r="F11">
        <v>100</v>
      </c>
      <c r="G11">
        <v>22.301886358769828</v>
      </c>
      <c r="H11">
        <v>2.3190932852245934E-2</v>
      </c>
      <c r="I11">
        <v>6.1820522311315039E-4</v>
      </c>
      <c r="J11">
        <v>0</v>
      </c>
      <c r="K11">
        <v>0.1982826283504141</v>
      </c>
      <c r="L11">
        <v>0.84215636604507282</v>
      </c>
      <c r="M11">
        <v>0.36140187582032834</v>
      </c>
      <c r="N11">
        <v>25</v>
      </c>
      <c r="AF11" s="4">
        <f t="shared" si="0"/>
        <v>1900</v>
      </c>
      <c r="AG11" s="4">
        <v>96.508200000000002</v>
      </c>
      <c r="AH11" s="5">
        <v>5.2395999999999998E-2</v>
      </c>
      <c r="AI11" s="5">
        <v>5.1710000000000005E-4</v>
      </c>
      <c r="AJ11" s="5">
        <v>6.2872999999999997E-8</v>
      </c>
      <c r="AK11" s="4">
        <v>0.44109999999999999</v>
      </c>
      <c r="AL11" s="6">
        <v>0.2417</v>
      </c>
      <c r="AM11" s="4">
        <v>0.76270000000000004</v>
      </c>
      <c r="AN11" s="4">
        <v>115.958</v>
      </c>
      <c r="AP11">
        <v>135.1301</v>
      </c>
      <c r="AQ11">
        <v>206.88480000000001</v>
      </c>
      <c r="AR11">
        <v>195.8579</v>
      </c>
      <c r="AS11">
        <v>1</v>
      </c>
      <c r="AT11">
        <v>0.40500000000000003</v>
      </c>
    </row>
    <row r="12" spans="1:46" x14ac:dyDescent="0.25">
      <c r="B12" s="3" t="s">
        <v>18</v>
      </c>
      <c r="C12" s="8">
        <v>20</v>
      </c>
      <c r="F12">
        <v>200</v>
      </c>
      <c r="G12">
        <v>24.762260476990093</v>
      </c>
      <c r="H12">
        <v>2.4838731651383839E-2</v>
      </c>
      <c r="I12">
        <v>5.6067497614401278E-4</v>
      </c>
      <c r="J12">
        <v>0</v>
      </c>
      <c r="K12">
        <v>0.19989343024927089</v>
      </c>
      <c r="L12">
        <v>0.75657965681655182</v>
      </c>
      <c r="M12">
        <v>0.38232014044478801</v>
      </c>
      <c r="N12">
        <v>30</v>
      </c>
      <c r="AF12" s="4">
        <f t="shared" si="0"/>
        <v>1800</v>
      </c>
      <c r="AG12" s="4">
        <v>91.256699999999995</v>
      </c>
      <c r="AH12" s="5">
        <v>5.1571899999999997E-2</v>
      </c>
      <c r="AI12" s="5">
        <v>5.3458599999999998E-4</v>
      </c>
      <c r="AJ12" s="5">
        <v>7.0244899999999999E-8</v>
      </c>
      <c r="AK12" s="4">
        <v>0.43780000000000002</v>
      </c>
      <c r="AL12" s="6">
        <v>0.26219999999999999</v>
      </c>
      <c r="AM12" s="4">
        <v>0.74809999999999999</v>
      </c>
      <c r="AN12" s="4">
        <v>110.9892</v>
      </c>
      <c r="AP12">
        <v>130.51179999999999</v>
      </c>
      <c r="AQ12">
        <v>199.50059999999999</v>
      </c>
      <c r="AR12">
        <v>186.71119999999999</v>
      </c>
      <c r="AS12">
        <v>1</v>
      </c>
      <c r="AT12">
        <v>0.40350000000000003</v>
      </c>
    </row>
    <row r="13" spans="1:46" x14ac:dyDescent="0.25">
      <c r="B13" s="3" t="s">
        <v>17</v>
      </c>
      <c r="C13" s="8">
        <v>120</v>
      </c>
      <c r="F13">
        <v>300</v>
      </c>
      <c r="G13">
        <v>27.52289550879896</v>
      </c>
      <c r="H13">
        <v>3.1342931255605007E-2</v>
      </c>
      <c r="I13">
        <v>6.0756082601894383E-4</v>
      </c>
      <c r="J13">
        <v>0</v>
      </c>
      <c r="K13">
        <v>0.20161970892685935</v>
      </c>
      <c r="L13">
        <v>0.67721405038385563</v>
      </c>
      <c r="M13">
        <v>0.4752945685790948</v>
      </c>
      <c r="N13">
        <v>35</v>
      </c>
      <c r="AF13" s="4">
        <f t="shared" si="0"/>
        <v>1700</v>
      </c>
      <c r="AG13" s="4">
        <v>86.089399999999998</v>
      </c>
      <c r="AH13" s="5">
        <v>5.0670699999999999E-2</v>
      </c>
      <c r="AI13" s="5">
        <v>5.5436799999999996E-4</v>
      </c>
      <c r="AJ13" s="5">
        <v>7.8823599999999997E-8</v>
      </c>
      <c r="AK13" s="4">
        <v>0.4345</v>
      </c>
      <c r="AL13" s="6">
        <v>0.2848</v>
      </c>
      <c r="AM13" s="4">
        <v>0.73260000000000003</v>
      </c>
      <c r="AN13" s="4">
        <v>105.9855</v>
      </c>
      <c r="AP13">
        <v>125.864</v>
      </c>
      <c r="AQ13">
        <v>192.06440000000001</v>
      </c>
      <c r="AR13">
        <v>177.53210000000001</v>
      </c>
      <c r="AS13">
        <v>1</v>
      </c>
      <c r="AT13">
        <v>0.40210000000000001</v>
      </c>
    </row>
    <row r="14" spans="1:46" x14ac:dyDescent="0.25">
      <c r="B14" s="3" t="s">
        <v>2</v>
      </c>
      <c r="C14" s="8">
        <v>0</v>
      </c>
      <c r="F14">
        <v>400</v>
      </c>
      <c r="G14">
        <v>30.812383082611845</v>
      </c>
      <c r="H14">
        <v>3.3289414937891122E-2</v>
      </c>
      <c r="I14">
        <v>5.3919792771664748E-4</v>
      </c>
      <c r="J14">
        <v>0</v>
      </c>
      <c r="K14">
        <v>0.2035422806620599</v>
      </c>
      <c r="L14">
        <v>0.59876219782005458</v>
      </c>
      <c r="M14">
        <v>0.50030873234990425</v>
      </c>
      <c r="N14">
        <v>40</v>
      </c>
      <c r="AF14" s="4">
        <f t="shared" si="0"/>
        <v>1600</v>
      </c>
      <c r="AG14" s="4">
        <v>81.014399999999995</v>
      </c>
      <c r="AH14" s="5">
        <v>4.9683400000000003E-2</v>
      </c>
      <c r="AI14" s="5">
        <v>5.7686100000000002E-4</v>
      </c>
      <c r="AJ14" s="5">
        <v>8.86426E-8</v>
      </c>
      <c r="AK14" s="4">
        <v>0.43130000000000002</v>
      </c>
      <c r="AL14" s="6">
        <v>0.31</v>
      </c>
      <c r="AM14" s="4">
        <v>0.71630000000000005</v>
      </c>
      <c r="AN14" s="4">
        <v>100.9817</v>
      </c>
      <c r="AP14">
        <v>121.1854</v>
      </c>
      <c r="AQ14">
        <v>184.577</v>
      </c>
      <c r="AR14">
        <v>168.32130000000001</v>
      </c>
      <c r="AS14">
        <v>0.99990000000000001</v>
      </c>
      <c r="AT14">
        <v>0.4007</v>
      </c>
    </row>
    <row r="15" spans="1:46" x14ac:dyDescent="0.25">
      <c r="B15" s="3" t="s">
        <v>3</v>
      </c>
      <c r="C15" s="8">
        <v>2000</v>
      </c>
      <c r="F15">
        <v>500</v>
      </c>
      <c r="G15">
        <v>34.286082432162836</v>
      </c>
      <c r="H15">
        <v>3.5148554366243499E-2</v>
      </c>
      <c r="I15">
        <v>4.8255059447654161E-4</v>
      </c>
      <c r="J15">
        <v>0</v>
      </c>
      <c r="K15">
        <v>0.20554023110808614</v>
      </c>
      <c r="L15">
        <v>0.53210211577127453</v>
      </c>
      <c r="M15">
        <v>0.52496681967678138</v>
      </c>
      <c r="N15">
        <v>45</v>
      </c>
      <c r="AF15" s="4">
        <f t="shared" si="0"/>
        <v>1500</v>
      </c>
      <c r="AG15" s="4">
        <v>76.040099999999995</v>
      </c>
      <c r="AH15" s="5">
        <v>4.86071E-2</v>
      </c>
      <c r="AI15" s="5">
        <v>6.02482E-4</v>
      </c>
      <c r="AJ15" s="5">
        <v>9.9904999999999994E-8</v>
      </c>
      <c r="AK15" s="4">
        <v>0.42809999999999998</v>
      </c>
      <c r="AL15" s="6">
        <v>0.33800000000000002</v>
      </c>
      <c r="AM15" s="4">
        <v>0.69920000000000004</v>
      </c>
      <c r="AN15" s="4">
        <v>95.978200000000001</v>
      </c>
      <c r="AP15">
        <v>116.4721</v>
      </c>
      <c r="AQ15">
        <v>177.0352</v>
      </c>
      <c r="AR15">
        <v>159.08250000000001</v>
      </c>
      <c r="AS15">
        <v>0.99850000000000005</v>
      </c>
      <c r="AT15">
        <v>0.39910000000000001</v>
      </c>
    </row>
    <row r="16" spans="1:46" x14ac:dyDescent="0.25">
      <c r="B16" s="3" t="s">
        <v>7</v>
      </c>
      <c r="C16" s="8">
        <v>62</v>
      </c>
      <c r="F16">
        <v>600</v>
      </c>
      <c r="G16">
        <v>37.935524008123942</v>
      </c>
      <c r="H16">
        <v>3.6905991978717405E-2</v>
      </c>
      <c r="I16">
        <v>4.3531477906047489E-4</v>
      </c>
      <c r="J16">
        <v>0</v>
      </c>
      <c r="K16">
        <v>0.20760744028616376</v>
      </c>
      <c r="L16">
        <v>0.47516595010448276</v>
      </c>
      <c r="M16">
        <v>0.54905011910061363</v>
      </c>
      <c r="N16">
        <v>50</v>
      </c>
      <c r="AF16" s="4">
        <f t="shared" si="0"/>
        <v>1400</v>
      </c>
      <c r="AG16" s="4">
        <v>71.175299999999993</v>
      </c>
      <c r="AH16" s="5">
        <v>4.74394E-2</v>
      </c>
      <c r="AI16" s="5">
        <v>6.3172300000000005E-4</v>
      </c>
      <c r="AJ16" s="5">
        <v>1.1286099999999999E-7</v>
      </c>
      <c r="AK16" s="4">
        <v>0.4249</v>
      </c>
      <c r="AL16" s="6">
        <v>0.36940000000000001</v>
      </c>
      <c r="AM16" s="4">
        <v>0.68110000000000004</v>
      </c>
      <c r="AN16" s="4">
        <v>90.975200000000001</v>
      </c>
      <c r="AP16">
        <v>111.71899999999999</v>
      </c>
      <c r="AQ16">
        <v>169.4324</v>
      </c>
      <c r="AR16">
        <v>149.81989999999999</v>
      </c>
      <c r="AS16">
        <v>0.997</v>
      </c>
      <c r="AT16">
        <v>0.39750000000000002</v>
      </c>
    </row>
    <row r="17" spans="2:46" x14ac:dyDescent="0.25">
      <c r="B17" s="3" t="s">
        <v>8</v>
      </c>
      <c r="C17" s="8">
        <v>1.6000000000000001E-4</v>
      </c>
      <c r="F17">
        <v>700</v>
      </c>
      <c r="G17">
        <v>41.750896784052465</v>
      </c>
      <c r="H17">
        <v>3.8552428359565218E-2</v>
      </c>
      <c r="I17">
        <v>3.9573230735031906E-4</v>
      </c>
      <c r="J17">
        <v>0</v>
      </c>
      <c r="K17">
        <v>0.20973713745367942</v>
      </c>
      <c r="L17">
        <v>0.42630688784161186</v>
      </c>
      <c r="M17">
        <v>0.57239704901734501</v>
      </c>
      <c r="N17">
        <v>55</v>
      </c>
      <c r="AF17" s="4">
        <f t="shared" si="0"/>
        <v>1300</v>
      </c>
      <c r="AG17" s="4">
        <v>66.428799999999995</v>
      </c>
      <c r="AH17" s="5">
        <v>4.6178799999999999E-2</v>
      </c>
      <c r="AI17" s="5">
        <v>6.6516700000000004E-4</v>
      </c>
      <c r="AJ17" s="5">
        <v>1.2781100000000001E-7</v>
      </c>
      <c r="AK17" s="4">
        <v>0.42170000000000002</v>
      </c>
      <c r="AL17" s="6">
        <v>0.40460000000000002</v>
      </c>
      <c r="AM17" s="4">
        <v>0.6623</v>
      </c>
      <c r="AN17" s="4">
        <v>85.972499999999997</v>
      </c>
      <c r="AP17">
        <v>106.9194</v>
      </c>
      <c r="AQ17">
        <v>161.75919999999999</v>
      </c>
      <c r="AR17">
        <v>140.5361</v>
      </c>
      <c r="AS17">
        <v>0.99529999999999996</v>
      </c>
      <c r="AT17">
        <v>0.39600000000000002</v>
      </c>
    </row>
    <row r="18" spans="2:46" x14ac:dyDescent="0.25">
      <c r="F18">
        <v>800</v>
      </c>
      <c r="G18">
        <v>45.721444240336105</v>
      </c>
      <c r="H18">
        <v>4.0081346763558554E-2</v>
      </c>
      <c r="I18">
        <v>3.6241780938221725E-4</v>
      </c>
      <c r="J18">
        <v>0</v>
      </c>
      <c r="K18">
        <v>0.21192208022486633</v>
      </c>
      <c r="L18">
        <v>0.38420082993854798</v>
      </c>
      <c r="M18">
        <v>0.59487262060931656</v>
      </c>
      <c r="N18">
        <v>60</v>
      </c>
      <c r="AF18" s="4">
        <f t="shared" si="0"/>
        <v>1200</v>
      </c>
      <c r="AG18" s="4">
        <v>61.8095</v>
      </c>
      <c r="AH18" s="5">
        <v>4.4824900000000001E-2</v>
      </c>
      <c r="AI18" s="5">
        <v>7.0350700000000003E-4</v>
      </c>
      <c r="AJ18" s="5">
        <v>1.4512099999999999E-7</v>
      </c>
      <c r="AK18" s="4">
        <v>0.41860000000000003</v>
      </c>
      <c r="AL18" s="6">
        <v>0.44419999999999998</v>
      </c>
      <c r="AM18" s="4">
        <v>0.64270000000000005</v>
      </c>
      <c r="AN18" s="4">
        <v>80.970399999999998</v>
      </c>
      <c r="AP18">
        <v>102.065</v>
      </c>
      <c r="AQ18">
        <v>154.0033</v>
      </c>
      <c r="AR18">
        <v>131.2304</v>
      </c>
      <c r="AS18">
        <v>0.99619999999999997</v>
      </c>
      <c r="AT18">
        <v>0.39450000000000002</v>
      </c>
    </row>
    <row r="19" spans="2:46" x14ac:dyDescent="0.25">
      <c r="B19" s="3" t="s">
        <v>9</v>
      </c>
      <c r="C19" s="8">
        <v>0.9</v>
      </c>
      <c r="F19">
        <v>900</v>
      </c>
      <c r="G19">
        <v>49.835777078697959</v>
      </c>
      <c r="H19">
        <v>4.1489059883541381E-2</v>
      </c>
      <c r="I19">
        <v>3.3426736815273396E-4</v>
      </c>
      <c r="J19">
        <v>0</v>
      </c>
      <c r="K19">
        <v>0.2141547174733576</v>
      </c>
      <c r="L19">
        <v>0.34777133144080985</v>
      </c>
      <c r="M19">
        <v>0.61637117508987072</v>
      </c>
      <c r="N19">
        <v>65</v>
      </c>
      <c r="AF19" s="4">
        <f t="shared" si="0"/>
        <v>1100</v>
      </c>
      <c r="AG19" s="4">
        <v>57.326099999999997</v>
      </c>
      <c r="AH19" s="5">
        <v>4.33785E-2</v>
      </c>
      <c r="AI19" s="5">
        <v>7.4757299999999997E-4</v>
      </c>
      <c r="AJ19" s="5">
        <v>1.6523400000000001E-7</v>
      </c>
      <c r="AK19" s="4">
        <v>0.41560000000000002</v>
      </c>
      <c r="AL19" s="6">
        <v>0.48880000000000001</v>
      </c>
      <c r="AM19" s="4">
        <v>0.62219999999999998</v>
      </c>
      <c r="AN19" s="4">
        <v>75.968699999999998</v>
      </c>
      <c r="AP19">
        <v>97.145399999999995</v>
      </c>
      <c r="AQ19">
        <v>146.14869999999999</v>
      </c>
      <c r="AR19">
        <v>121.8967</v>
      </c>
      <c r="AS19">
        <v>0.99490000000000001</v>
      </c>
      <c r="AT19">
        <v>0.39319999999999999</v>
      </c>
    </row>
    <row r="20" spans="2:46" x14ac:dyDescent="0.25">
      <c r="B20" s="3" t="s">
        <v>10</v>
      </c>
      <c r="C20" s="8">
        <v>0.75</v>
      </c>
      <c r="F20">
        <v>1000</v>
      </c>
      <c r="G20">
        <v>54.082175391792504</v>
      </c>
      <c r="H20">
        <v>4.2774591987471029E-2</v>
      </c>
      <c r="I20">
        <v>3.1039285957442509E-4</v>
      </c>
      <c r="J20">
        <v>0</v>
      </c>
      <c r="K20">
        <v>0.21642735523074921</v>
      </c>
      <c r="L20">
        <v>0.31613487433157827</v>
      </c>
      <c r="M20">
        <v>0.63681726507967062</v>
      </c>
      <c r="N20">
        <v>70</v>
      </c>
      <c r="AF20" s="4">
        <f t="shared" si="0"/>
        <v>1000</v>
      </c>
      <c r="AG20" s="4">
        <v>52.987200000000001</v>
      </c>
      <c r="AH20" s="5">
        <v>4.1841799999999998E-2</v>
      </c>
      <c r="AI20" s="5">
        <v>7.9836800000000004E-4</v>
      </c>
      <c r="AJ20" s="5">
        <v>1.8869700000000001E-7</v>
      </c>
      <c r="AK20" s="4">
        <v>0.41260000000000002</v>
      </c>
      <c r="AL20" s="6">
        <v>0.53920000000000001</v>
      </c>
      <c r="AM20" s="4">
        <v>0.60109999999999997</v>
      </c>
      <c r="AN20" s="4">
        <v>70.967600000000004</v>
      </c>
      <c r="AP20">
        <v>92.147400000000005</v>
      </c>
      <c r="AQ20">
        <v>138.17420000000001</v>
      </c>
      <c r="AR20">
        <v>112.5359</v>
      </c>
      <c r="AS20">
        <v>0.99339999999999995</v>
      </c>
      <c r="AT20">
        <v>0.39200000000000002</v>
      </c>
    </row>
    <row r="21" spans="2:46" x14ac:dyDescent="0.25">
      <c r="B21" s="3" t="s">
        <v>11</v>
      </c>
      <c r="C21" s="8">
        <v>1</v>
      </c>
      <c r="F21">
        <v>1100</v>
      </c>
      <c r="G21">
        <v>58.448861073004849</v>
      </c>
      <c r="H21">
        <v>4.3939291417411701E-2</v>
      </c>
      <c r="I21">
        <v>2.9007573848311829E-4</v>
      </c>
      <c r="J21">
        <v>0</v>
      </c>
      <c r="K21">
        <v>0.21873231335169974</v>
      </c>
      <c r="L21">
        <v>0.2885627852792314</v>
      </c>
      <c r="M21">
        <v>0.65616312481915973</v>
      </c>
      <c r="N21">
        <v>75</v>
      </c>
      <c r="AF21" s="4">
        <f t="shared" si="0"/>
        <v>900</v>
      </c>
      <c r="AG21" s="4">
        <v>48.800699999999999</v>
      </c>
      <c r="AH21" s="5">
        <v>4.0223399999999999E-2</v>
      </c>
      <c r="AI21" s="5">
        <v>8.5722399999999996E-4</v>
      </c>
      <c r="AJ21" s="5">
        <v>2.16211E-7</v>
      </c>
      <c r="AK21" s="4">
        <v>0.40970000000000001</v>
      </c>
      <c r="AL21" s="6">
        <v>0.59640000000000004</v>
      </c>
      <c r="AM21" s="4">
        <v>0.57940000000000003</v>
      </c>
      <c r="AN21" s="4">
        <v>65.966999999999999</v>
      </c>
      <c r="AP21">
        <v>87.053899999999999</v>
      </c>
      <c r="AQ21">
        <v>130.0523</v>
      </c>
      <c r="AR21">
        <v>103.163</v>
      </c>
      <c r="AS21">
        <v>0.99160000000000004</v>
      </c>
      <c r="AT21">
        <v>0.39090000000000003</v>
      </c>
    </row>
    <row r="22" spans="2:46" x14ac:dyDescent="0.25">
      <c r="B22" s="3" t="s">
        <v>12</v>
      </c>
      <c r="C22" s="8">
        <v>80</v>
      </c>
      <c r="F22">
        <v>1200</v>
      </c>
      <c r="G22">
        <v>62.924230999420864</v>
      </c>
      <c r="H22">
        <v>4.4986540914587085E-2</v>
      </c>
      <c r="I22">
        <v>2.7272991994015008E-4</v>
      </c>
      <c r="J22">
        <v>0</v>
      </c>
      <c r="K22">
        <v>0.22106206523370084</v>
      </c>
      <c r="L22">
        <v>0.26444906841735699</v>
      </c>
      <c r="M22">
        <v>0.67438707948840226</v>
      </c>
      <c r="N22">
        <v>80</v>
      </c>
      <c r="AF22" s="4">
        <f t="shared" si="0"/>
        <v>800</v>
      </c>
      <c r="AG22" s="4">
        <v>44.773699999999998</v>
      </c>
      <c r="AH22" s="5">
        <v>3.8525700000000003E-2</v>
      </c>
      <c r="AI22" s="5">
        <v>9.2561900000000003E-4</v>
      </c>
      <c r="AJ22" s="5">
        <v>2.48637E-7</v>
      </c>
      <c r="AK22" s="4">
        <v>0.40689999999999998</v>
      </c>
      <c r="AL22" s="6">
        <v>0.66149999999999998</v>
      </c>
      <c r="AM22" s="4">
        <v>0.55720000000000003</v>
      </c>
      <c r="AN22" s="4">
        <v>60.966999999999999</v>
      </c>
      <c r="AP22">
        <v>81.8429</v>
      </c>
      <c r="AQ22">
        <v>121.7453</v>
      </c>
      <c r="AR22">
        <v>93.783799999999999</v>
      </c>
      <c r="AS22">
        <v>0.98939999999999995</v>
      </c>
      <c r="AT22">
        <v>0.38990000000000002</v>
      </c>
    </row>
    <row r="23" spans="2:46" x14ac:dyDescent="0.25">
      <c r="B23" s="3" t="s">
        <v>13</v>
      </c>
      <c r="C23" s="8">
        <v>120</v>
      </c>
      <c r="F23">
        <v>1300</v>
      </c>
      <c r="G23">
        <v>67.497049625746286</v>
      </c>
      <c r="H23">
        <v>4.5921326433409904E-2</v>
      </c>
      <c r="I23">
        <v>2.5787500048047316E-4</v>
      </c>
      <c r="J23">
        <v>0</v>
      </c>
      <c r="K23">
        <v>0.22340935702394205</v>
      </c>
      <c r="L23">
        <v>0.24328749636392522</v>
      </c>
      <c r="M23">
        <v>0.69148987031899334</v>
      </c>
      <c r="N23">
        <v>85</v>
      </c>
      <c r="AF23" s="4">
        <f t="shared" si="0"/>
        <v>700</v>
      </c>
      <c r="AG23" s="4">
        <v>40.912799999999997</v>
      </c>
      <c r="AH23" s="5">
        <v>3.6752399999999998E-2</v>
      </c>
      <c r="AI23" s="5">
        <v>1.0053499999999999E-3</v>
      </c>
      <c r="AJ23" s="5">
        <v>2.8703E-7</v>
      </c>
      <c r="AK23" s="4">
        <v>0.40410000000000001</v>
      </c>
      <c r="AL23" s="6">
        <v>0.73580000000000001</v>
      </c>
      <c r="AM23" s="4">
        <v>0.53459999999999996</v>
      </c>
      <c r="AN23" s="4">
        <v>55.967500000000001</v>
      </c>
      <c r="AP23">
        <v>76.468599999999995</v>
      </c>
      <c r="AQ23">
        <v>113.2002</v>
      </c>
      <c r="AR23">
        <v>84.403899999999993</v>
      </c>
      <c r="AS23">
        <v>0.98670000000000002</v>
      </c>
      <c r="AT23">
        <v>0.38890000000000002</v>
      </c>
    </row>
    <row r="24" spans="2:46" x14ac:dyDescent="0.25">
      <c r="B24" s="3" t="s">
        <v>14</v>
      </c>
      <c r="C24" s="8">
        <v>150</v>
      </c>
      <c r="F24">
        <v>1400</v>
      </c>
      <c r="G24">
        <v>72.156596861880743</v>
      </c>
      <c r="H24">
        <v>4.674977554758087E-2</v>
      </c>
      <c r="I24">
        <v>2.4511590074243443E-4</v>
      </c>
      <c r="J24">
        <v>0</v>
      </c>
      <c r="K24">
        <v>0.22576730276486121</v>
      </c>
      <c r="L24">
        <v>0.22465413277334115</v>
      </c>
      <c r="M24">
        <v>0.70749016402371323</v>
      </c>
      <c r="N24">
        <v>90</v>
      </c>
      <c r="AF24" s="4">
        <f t="shared" si="0"/>
        <v>600</v>
      </c>
      <c r="AG24" s="4">
        <v>37.224200000000003</v>
      </c>
      <c r="AH24" s="5">
        <v>3.4911299999999999E-2</v>
      </c>
      <c r="AI24" s="5">
        <v>1.09874E-3</v>
      </c>
      <c r="AJ24" s="5">
        <v>3.32765E-7</v>
      </c>
      <c r="AK24" s="4">
        <v>0.40139999999999998</v>
      </c>
      <c r="AL24" s="6">
        <v>0.82110000000000005</v>
      </c>
      <c r="AM24" s="4">
        <v>0.51160000000000005</v>
      </c>
      <c r="AN24" s="4">
        <v>50.968699999999998</v>
      </c>
      <c r="AP24">
        <v>70.851600000000005</v>
      </c>
      <c r="AQ24">
        <v>104.3409</v>
      </c>
      <c r="AR24">
        <v>75.031099999999995</v>
      </c>
      <c r="AS24">
        <v>0.98319999999999996</v>
      </c>
      <c r="AT24">
        <v>0.38790000000000002</v>
      </c>
    </row>
    <row r="25" spans="2:46" x14ac:dyDescent="0.25">
      <c r="B25" s="3" t="s">
        <v>15</v>
      </c>
      <c r="C25" s="8">
        <v>120</v>
      </c>
      <c r="F25">
        <v>1500</v>
      </c>
      <c r="G25">
        <v>76.892771529972336</v>
      </c>
      <c r="H25">
        <v>4.7478777643569794E-2</v>
      </c>
      <c r="I25">
        <v>2.3412635580272772E-4</v>
      </c>
      <c r="J25">
        <v>0</v>
      </c>
      <c r="K25">
        <v>0.22812945455085662</v>
      </c>
      <c r="L25">
        <v>0.20819266073023274</v>
      </c>
      <c r="M25">
        <v>0.72242067640631535</v>
      </c>
      <c r="N25">
        <v>95</v>
      </c>
      <c r="AF25" s="4">
        <f t="shared" si="0"/>
        <v>500</v>
      </c>
      <c r="AG25" s="4">
        <v>33.712600000000002</v>
      </c>
      <c r="AH25" s="5">
        <v>3.3011199999999997E-2</v>
      </c>
      <c r="AI25" s="5">
        <v>1.2087300000000001E-3</v>
      </c>
      <c r="AJ25" s="5">
        <v>3.8763399999999999E-7</v>
      </c>
      <c r="AK25" s="4">
        <v>0.39879999999999999</v>
      </c>
      <c r="AL25" s="6">
        <v>0.91920000000000002</v>
      </c>
      <c r="AM25" s="4">
        <v>0.4884</v>
      </c>
      <c r="AN25" s="4">
        <v>45.970300000000002</v>
      </c>
      <c r="AP25">
        <v>64.915899999999993</v>
      </c>
      <c r="AQ25">
        <v>95.0535</v>
      </c>
      <c r="AR25">
        <v>65.675299999999993</v>
      </c>
      <c r="AS25">
        <v>0.97870000000000001</v>
      </c>
      <c r="AT25">
        <v>0.3871</v>
      </c>
    </row>
    <row r="26" spans="2:46" x14ac:dyDescent="0.25">
      <c r="B26" s="3" t="s">
        <v>16</v>
      </c>
      <c r="C26" s="8">
        <v>-1</v>
      </c>
      <c r="F26">
        <v>1600</v>
      </c>
      <c r="G26">
        <v>81.696160907940282</v>
      </c>
      <c r="H26">
        <v>4.8115748569317725E-2</v>
      </c>
      <c r="I26">
        <v>2.2463491512972306E-4</v>
      </c>
      <c r="J26">
        <v>0</v>
      </c>
      <c r="K26">
        <v>0.2304898514591501</v>
      </c>
      <c r="L26">
        <v>0.19360122746076749</v>
      </c>
      <c r="M26">
        <v>0.73632582405297109</v>
      </c>
      <c r="N26">
        <v>100</v>
      </c>
      <c r="AF26" s="4">
        <f t="shared" si="0"/>
        <v>400</v>
      </c>
      <c r="AG26" s="4">
        <v>30.381499999999999</v>
      </c>
      <c r="AH26" s="5">
        <v>3.1061999999999999E-2</v>
      </c>
      <c r="AI26" s="5">
        <v>1.3391500000000001E-3</v>
      </c>
      <c r="AJ26" s="5">
        <v>4.5401399999999998E-7</v>
      </c>
      <c r="AK26" s="4">
        <v>0.39629999999999999</v>
      </c>
      <c r="AL26" s="6">
        <v>1.0328999999999999</v>
      </c>
      <c r="AM26" s="4">
        <v>0.4652</v>
      </c>
      <c r="AN26" s="4">
        <v>40.9724</v>
      </c>
      <c r="AP26">
        <v>58.557600000000001</v>
      </c>
      <c r="AQ26">
        <v>85.155000000000001</v>
      </c>
      <c r="AR26">
        <v>56.349899999999998</v>
      </c>
      <c r="AS26">
        <v>0.97270000000000001</v>
      </c>
      <c r="AT26">
        <v>0.38629999999999998</v>
      </c>
    </row>
    <row r="27" spans="2:46" x14ac:dyDescent="0.25">
      <c r="B27" s="7" t="s">
        <v>35</v>
      </c>
      <c r="C27" s="9">
        <v>0.33</v>
      </c>
      <c r="F27">
        <v>1700</v>
      </c>
      <c r="G27">
        <v>86.558073131379302</v>
      </c>
      <c r="H27">
        <v>4.8668176251256252E-2</v>
      </c>
      <c r="I27">
        <v>2.1641656902676566E-4</v>
      </c>
      <c r="J27">
        <v>0</v>
      </c>
      <c r="K27">
        <v>0.23284304640532241</v>
      </c>
      <c r="L27">
        <v>0.18062568962560677</v>
      </c>
      <c r="M27">
        <v>0.74925615140057633</v>
      </c>
      <c r="N27">
        <v>105</v>
      </c>
      <c r="AF27" s="4">
        <f t="shared" si="0"/>
        <v>300</v>
      </c>
      <c r="AG27" s="4">
        <v>27.419499999999999</v>
      </c>
      <c r="AH27" s="5">
        <v>2.5611999999999999E-2</v>
      </c>
      <c r="AI27" s="5">
        <v>1.28878E-3</v>
      </c>
      <c r="AJ27" s="5">
        <v>4.5215500000000001E-7</v>
      </c>
      <c r="AK27" s="4">
        <v>0.39389999999999997</v>
      </c>
      <c r="AL27" s="6">
        <v>1.1548</v>
      </c>
      <c r="AM27" s="4">
        <v>0.38740000000000002</v>
      </c>
      <c r="AN27" s="4">
        <v>35.996000000000002</v>
      </c>
      <c r="AP27">
        <v>51.582000000000001</v>
      </c>
      <c r="AQ27">
        <v>74.330100000000002</v>
      </c>
      <c r="AR27">
        <v>47.075099999999999</v>
      </c>
      <c r="AS27">
        <v>0.96419999999999995</v>
      </c>
      <c r="AT27">
        <v>0.38550000000000001</v>
      </c>
    </row>
    <row r="28" spans="2:46" x14ac:dyDescent="0.25">
      <c r="B28" s="3" t="s">
        <v>5</v>
      </c>
      <c r="C28" s="10">
        <v>101.4188544436672</v>
      </c>
      <c r="F28">
        <v>1800</v>
      </c>
      <c r="G28">
        <v>91.470544992498162</v>
      </c>
      <c r="H28">
        <v>4.9143487368918583E-2</v>
      </c>
      <c r="I28">
        <v>2.092834759801219E-4</v>
      </c>
      <c r="J28">
        <v>0</v>
      </c>
      <c r="K28">
        <v>0.23518411647860188</v>
      </c>
      <c r="L28">
        <v>0.16905049930769464</v>
      </c>
      <c r="M28">
        <v>0.76126667409675708</v>
      </c>
      <c r="N28">
        <v>110</v>
      </c>
      <c r="AF28" s="4">
        <f t="shared" si="0"/>
        <v>200</v>
      </c>
      <c r="AG28" s="4">
        <v>24.809100000000001</v>
      </c>
      <c r="AH28" s="5">
        <v>2.3902400000000001E-2</v>
      </c>
      <c r="AI28" s="5">
        <v>1.4134499999999999E-3</v>
      </c>
      <c r="AJ28" s="5">
        <v>5.1910700000000002E-7</v>
      </c>
      <c r="AK28" s="4">
        <v>0.3916</v>
      </c>
      <c r="AL28" s="6">
        <v>1.2831999999999999</v>
      </c>
      <c r="AM28" s="4">
        <v>0.36659999999999998</v>
      </c>
      <c r="AN28" s="4">
        <v>30.999199999999998</v>
      </c>
      <c r="AP28">
        <v>43.6402</v>
      </c>
      <c r="AQ28">
        <v>61.960799999999999</v>
      </c>
      <c r="AR28">
        <v>37.882199999999997</v>
      </c>
      <c r="AS28">
        <v>0.95169999999999999</v>
      </c>
      <c r="AT28">
        <v>0.38490000000000002</v>
      </c>
    </row>
    <row r="29" spans="2:46" x14ac:dyDescent="0.25">
      <c r="B29" s="3" t="s">
        <v>6</v>
      </c>
      <c r="C29" s="10">
        <v>120</v>
      </c>
      <c r="F29">
        <v>1900</v>
      </c>
      <c r="G29">
        <v>96.426326692990116</v>
      </c>
      <c r="H29">
        <v>4.9548865959734838E-2</v>
      </c>
      <c r="I29">
        <v>2.0307847554916391E-4</v>
      </c>
      <c r="J29">
        <v>0</v>
      </c>
      <c r="K29">
        <v>0.23750865838380758</v>
      </c>
      <c r="L29">
        <v>0.15869260484960357</v>
      </c>
      <c r="M29">
        <v>0.77241439153316893</v>
      </c>
      <c r="N29">
        <v>115</v>
      </c>
      <c r="AF29" s="4">
        <f>AF30+100</f>
        <v>100</v>
      </c>
      <c r="AG29" s="4">
        <v>22.355499999999999</v>
      </c>
      <c r="AH29" s="5">
        <v>2.2206099999999999E-2</v>
      </c>
      <c r="AI29" s="5">
        <v>1.56087E-3</v>
      </c>
      <c r="AJ29" s="5">
        <v>5.9916699999999995E-7</v>
      </c>
      <c r="AK29" s="4">
        <v>0.38940000000000002</v>
      </c>
      <c r="AL29" s="6">
        <v>1.4298999999999999</v>
      </c>
      <c r="AM29" s="4">
        <v>0.3463</v>
      </c>
      <c r="AN29" s="4">
        <v>26.0016</v>
      </c>
      <c r="AP29">
        <v>33.974899999999998</v>
      </c>
      <c r="AQ29">
        <v>46.512099999999997</v>
      </c>
      <c r="AR29">
        <v>28.823899999999998</v>
      </c>
      <c r="AS29">
        <v>0.93210000000000004</v>
      </c>
      <c r="AT29">
        <v>0.38429999999999997</v>
      </c>
    </row>
    <row r="30" spans="2:46" x14ac:dyDescent="0.25">
      <c r="F30">
        <v>2000</v>
      </c>
      <c r="G30">
        <v>101.4188544436672</v>
      </c>
      <c r="H30">
        <v>4.9891091694004387E-2</v>
      </c>
      <c r="I30">
        <v>1.9767009912997717E-4</v>
      </c>
      <c r="J30">
        <v>0</v>
      </c>
      <c r="K30">
        <v>0.23981277423113143</v>
      </c>
      <c r="L30">
        <v>0.14939680664957164</v>
      </c>
      <c r="M30">
        <v>0.78275587949159031</v>
      </c>
      <c r="N30">
        <v>120</v>
      </c>
      <c r="AF30" s="4">
        <v>0</v>
      </c>
      <c r="AG30" s="4">
        <v>20.054400000000001</v>
      </c>
      <c r="AH30" s="5">
        <v>2.0529499999999999E-2</v>
      </c>
      <c r="AI30" s="5">
        <v>1.73766E-3</v>
      </c>
      <c r="AJ30" s="5">
        <v>6.9602999999999997E-7</v>
      </c>
      <c r="AK30" s="4">
        <v>0.38719999999999999</v>
      </c>
      <c r="AL30" s="6">
        <v>1.5986</v>
      </c>
      <c r="AM30" s="4">
        <v>0.32650000000000001</v>
      </c>
      <c r="AN30" s="4">
        <v>21.004100000000001</v>
      </c>
      <c r="AP30">
        <v>20.0457</v>
      </c>
      <c r="AQ30">
        <v>20.1006</v>
      </c>
      <c r="AR30">
        <v>20.000299999999999</v>
      </c>
      <c r="AS30">
        <v>0.89780000000000004</v>
      </c>
      <c r="AT30">
        <v>0.38379999999999997</v>
      </c>
    </row>
    <row r="33" spans="36:44" x14ac:dyDescent="0.25">
      <c r="AJ33" t="s">
        <v>28</v>
      </c>
      <c r="AK33" t="s">
        <v>29</v>
      </c>
    </row>
    <row r="35" spans="36:44" x14ac:dyDescent="0.25">
      <c r="AJ35" t="s">
        <v>19</v>
      </c>
      <c r="AK35" t="s">
        <v>20</v>
      </c>
      <c r="AL35" t="s">
        <v>21</v>
      </c>
      <c r="AM35" t="s">
        <v>22</v>
      </c>
      <c r="AN35" t="s">
        <v>23</v>
      </c>
      <c r="AO35" t="s">
        <v>24</v>
      </c>
      <c r="AP35" t="s">
        <v>25</v>
      </c>
      <c r="AQ35" t="s">
        <v>26</v>
      </c>
      <c r="AR35" t="s">
        <v>27</v>
      </c>
    </row>
    <row r="36" spans="36:44" x14ac:dyDescent="0.25">
      <c r="AJ36">
        <v>2000</v>
      </c>
      <c r="AK36">
        <v>105.51430000000001</v>
      </c>
      <c r="AL36" s="12">
        <v>1.25018E-2</v>
      </c>
      <c r="AM36">
        <v>1.9900000000000001E-2</v>
      </c>
      <c r="AN36" s="11">
        <v>2.0651800000000001E-5</v>
      </c>
      <c r="AO36">
        <v>0.44519999999999998</v>
      </c>
      <c r="AP36">
        <v>8.2687000000000008</v>
      </c>
      <c r="AQ36" s="12">
        <v>5.0767899999999998E-2</v>
      </c>
      <c r="AR36">
        <v>120</v>
      </c>
    </row>
    <row r="37" spans="36:44" x14ac:dyDescent="0.25">
      <c r="AJ37">
        <v>1900</v>
      </c>
      <c r="AK37">
        <v>102.2654</v>
      </c>
      <c r="AL37" s="12">
        <v>1.22241E-2</v>
      </c>
      <c r="AM37">
        <v>2.0299999999999999E-2</v>
      </c>
      <c r="AN37" s="11">
        <v>1.5708800000000001E-5</v>
      </c>
      <c r="AO37">
        <v>0.44330000000000003</v>
      </c>
      <c r="AP37">
        <v>8.4792000000000005</v>
      </c>
      <c r="AQ37" s="12">
        <v>4.9427199999999998E-2</v>
      </c>
      <c r="AR37">
        <v>117.2813</v>
      </c>
    </row>
    <row r="38" spans="36:44" x14ac:dyDescent="0.25">
      <c r="AJ38">
        <v>1800</v>
      </c>
      <c r="AK38">
        <v>99.001800000000003</v>
      </c>
      <c r="AL38" s="12">
        <v>1.2024699999999999E-2</v>
      </c>
      <c r="AM38">
        <v>2.07E-2</v>
      </c>
      <c r="AN38" s="11">
        <v>1.5307699999999999E-5</v>
      </c>
      <c r="AO38">
        <v>0.44080000000000003</v>
      </c>
      <c r="AP38">
        <v>8.6407000000000007</v>
      </c>
      <c r="AQ38" s="12">
        <v>4.8342700000000002E-2</v>
      </c>
      <c r="AR38">
        <v>112.7946</v>
      </c>
    </row>
    <row r="39" spans="36:44" x14ac:dyDescent="0.25">
      <c r="AJ39">
        <v>1700</v>
      </c>
      <c r="AK39">
        <v>95.697000000000003</v>
      </c>
      <c r="AL39" s="12">
        <v>1.1830200000000001E-2</v>
      </c>
      <c r="AM39">
        <v>2.1399999999999999E-2</v>
      </c>
      <c r="AN39" s="11">
        <v>1.6371700000000001E-5</v>
      </c>
      <c r="AO39">
        <v>0.43809999999999999</v>
      </c>
      <c r="AP39">
        <v>8.7975999999999992</v>
      </c>
      <c r="AQ39" s="12">
        <v>4.7500399999999998E-2</v>
      </c>
      <c r="AR39">
        <v>107.9045</v>
      </c>
    </row>
    <row r="40" spans="36:44" x14ac:dyDescent="0.25">
      <c r="AJ40">
        <v>1600</v>
      </c>
      <c r="AK40">
        <v>92.359399999999994</v>
      </c>
      <c r="AL40" s="12">
        <v>1.1625E-2</v>
      </c>
      <c r="AM40">
        <v>2.1899999999999999E-2</v>
      </c>
      <c r="AN40" s="11">
        <v>1.7631299999999998E-5</v>
      </c>
      <c r="AO40">
        <v>0.43530000000000002</v>
      </c>
      <c r="AP40">
        <v>8.9641999999999999</v>
      </c>
      <c r="AQ40" s="12">
        <v>4.6442200000000003E-2</v>
      </c>
      <c r="AR40">
        <v>102.9237</v>
      </c>
    </row>
    <row r="41" spans="36:44" x14ac:dyDescent="0.25">
      <c r="AJ41">
        <v>1500</v>
      </c>
      <c r="AK41">
        <v>88.992699999999999</v>
      </c>
      <c r="AL41" s="12">
        <v>1.1404900000000001E-2</v>
      </c>
      <c r="AM41">
        <v>2.24E-2</v>
      </c>
      <c r="AN41" s="11">
        <v>1.91588E-5</v>
      </c>
      <c r="AO41">
        <v>0.43259999999999998</v>
      </c>
      <c r="AP41">
        <v>9.1469000000000005</v>
      </c>
      <c r="AQ41" s="12">
        <v>4.5343000000000001E-2</v>
      </c>
      <c r="AR41">
        <v>97.921999999999997</v>
      </c>
    </row>
    <row r="42" spans="36:44" x14ac:dyDescent="0.25">
      <c r="AJ42">
        <v>1400</v>
      </c>
      <c r="AK42">
        <v>85.591499999999996</v>
      </c>
      <c r="AL42" s="12">
        <v>1.1167699999999999E-2</v>
      </c>
      <c r="AM42">
        <v>2.3E-2</v>
      </c>
      <c r="AN42" s="11">
        <v>2.0963099999999999E-5</v>
      </c>
      <c r="AO42">
        <v>0.42980000000000002</v>
      </c>
      <c r="AP42">
        <v>9.3506</v>
      </c>
      <c r="AQ42" s="12">
        <v>4.4195499999999999E-2</v>
      </c>
      <c r="AR42">
        <v>92.914900000000003</v>
      </c>
    </row>
    <row r="43" spans="36:44" x14ac:dyDescent="0.25">
      <c r="AJ43">
        <v>1300</v>
      </c>
      <c r="AK43">
        <v>82.149199999999993</v>
      </c>
      <c r="AL43" s="12">
        <v>1.0911000000000001E-2</v>
      </c>
      <c r="AM43">
        <v>2.3699999999999999E-2</v>
      </c>
      <c r="AN43" s="11">
        <v>2.3102899999999999E-5</v>
      </c>
      <c r="AO43">
        <v>0.42699999999999999</v>
      </c>
      <c r="AP43">
        <v>9.5805000000000007</v>
      </c>
      <c r="AQ43" s="12">
        <v>4.29936E-2</v>
      </c>
      <c r="AR43">
        <v>87.906000000000006</v>
      </c>
    </row>
    <row r="44" spans="36:44" x14ac:dyDescent="0.25">
      <c r="AJ44">
        <v>1200</v>
      </c>
      <c r="AK44">
        <v>78.658000000000001</v>
      </c>
      <c r="AL44" s="12">
        <v>1.06325E-2</v>
      </c>
      <c r="AM44">
        <v>2.4500000000000001E-2</v>
      </c>
      <c r="AN44" s="11">
        <v>2.5669499999999999E-5</v>
      </c>
      <c r="AO44">
        <v>0.42420000000000002</v>
      </c>
      <c r="AP44">
        <v>9.8417999999999992</v>
      </c>
      <c r="AQ44" s="12">
        <v>4.1730499999999997E-2</v>
      </c>
      <c r="AR44">
        <v>82.896000000000001</v>
      </c>
    </row>
    <row r="45" spans="36:44" x14ac:dyDescent="0.25">
      <c r="AJ45">
        <v>1100</v>
      </c>
      <c r="AK45">
        <v>75.108099999999993</v>
      </c>
      <c r="AL45" s="12">
        <v>1.03295E-2</v>
      </c>
      <c r="AM45">
        <v>2.5499999999999998E-2</v>
      </c>
      <c r="AN45" s="11">
        <v>2.8790899999999999E-5</v>
      </c>
      <c r="AO45">
        <v>0.4214</v>
      </c>
      <c r="AP45">
        <v>10.1416</v>
      </c>
      <c r="AQ45" s="12">
        <v>4.0398200000000002E-2</v>
      </c>
      <c r="AR45">
        <v>77.884699999999995</v>
      </c>
    </row>
    <row r="46" spans="36:44" x14ac:dyDescent="0.25">
      <c r="AJ46">
        <v>1000</v>
      </c>
      <c r="AK46">
        <v>71.487799999999993</v>
      </c>
      <c r="AL46" s="12">
        <v>9.9986799999999994E-3</v>
      </c>
      <c r="AM46">
        <v>2.6599999999999999E-2</v>
      </c>
      <c r="AN46" s="11">
        <v>3.2650200000000001E-5</v>
      </c>
      <c r="AO46">
        <v>0.41849999999999998</v>
      </c>
      <c r="AP46">
        <v>10.4893</v>
      </c>
      <c r="AQ46" s="12">
        <v>3.8987000000000001E-2</v>
      </c>
      <c r="AR46">
        <v>72.872100000000003</v>
      </c>
    </row>
    <row r="47" spans="36:44" x14ac:dyDescent="0.25">
      <c r="AJ47">
        <v>900</v>
      </c>
      <c r="AK47">
        <v>67.781499999999994</v>
      </c>
      <c r="AL47" s="12">
        <v>9.6359199999999992E-3</v>
      </c>
      <c r="AM47">
        <v>2.7900000000000001E-2</v>
      </c>
      <c r="AN47" s="11">
        <v>3.7535199999999999E-5</v>
      </c>
      <c r="AO47">
        <v>0.41560000000000002</v>
      </c>
      <c r="AP47">
        <v>10.897</v>
      </c>
      <c r="AQ47" s="12">
        <v>3.7500899999999997E-2</v>
      </c>
      <c r="AR47">
        <v>67.858000000000004</v>
      </c>
    </row>
    <row r="48" spans="36:44" x14ac:dyDescent="0.25">
      <c r="AJ48">
        <v>800</v>
      </c>
      <c r="AK48">
        <v>63.959200000000003</v>
      </c>
      <c r="AL48" s="12">
        <v>9.2341000000000003E-3</v>
      </c>
      <c r="AM48">
        <v>2.9600000000000001E-2</v>
      </c>
      <c r="AN48" s="11">
        <v>4.4081E-5</v>
      </c>
      <c r="AO48">
        <v>0.41270000000000001</v>
      </c>
      <c r="AP48">
        <v>11.3847</v>
      </c>
      <c r="AQ48" s="12">
        <v>3.5949099999999998E-2</v>
      </c>
      <c r="AR48">
        <v>62.841200000000001</v>
      </c>
    </row>
    <row r="49" spans="5:44" x14ac:dyDescent="0.25">
      <c r="AJ49">
        <v>700</v>
      </c>
      <c r="AK49">
        <v>59.9878</v>
      </c>
      <c r="AL49" s="12">
        <v>8.7862800000000005E-3</v>
      </c>
      <c r="AM49">
        <v>3.1699999999999999E-2</v>
      </c>
      <c r="AN49" s="11">
        <v>5.2890899999999999E-5</v>
      </c>
      <c r="AO49">
        <v>0.4098</v>
      </c>
      <c r="AP49">
        <v>11.979699999999999</v>
      </c>
      <c r="AQ49" s="12">
        <v>3.42692E-2</v>
      </c>
      <c r="AR49">
        <v>57.8217</v>
      </c>
    </row>
    <row r="50" spans="5:44" x14ac:dyDescent="0.25">
      <c r="AJ50">
        <v>600</v>
      </c>
      <c r="AK50">
        <v>55.8277</v>
      </c>
      <c r="AL50" s="12">
        <v>8.2839799999999998E-3</v>
      </c>
      <c r="AM50">
        <v>3.44E-2</v>
      </c>
      <c r="AN50" s="11">
        <v>6.5194499999999994E-5</v>
      </c>
      <c r="AO50">
        <v>0.40679999999999999</v>
      </c>
      <c r="AP50">
        <v>12.7239</v>
      </c>
      <c r="AQ50" s="12">
        <v>3.24324E-2</v>
      </c>
      <c r="AR50">
        <v>52.798999999999999</v>
      </c>
    </row>
    <row r="51" spans="5:44" x14ac:dyDescent="0.25">
      <c r="AJ51">
        <v>500</v>
      </c>
      <c r="AK51">
        <v>51.424500000000002</v>
      </c>
      <c r="AL51" s="12">
        <v>7.7164E-3</v>
      </c>
      <c r="AM51">
        <v>3.7699999999999997E-2</v>
      </c>
      <c r="AN51" s="11">
        <v>8.3218000000000002E-5</v>
      </c>
      <c r="AO51">
        <v>0.40379999999999999</v>
      </c>
      <c r="AP51">
        <v>13.682700000000001</v>
      </c>
      <c r="AQ51" s="12">
        <v>3.0401500000000001E-2</v>
      </c>
      <c r="AR51">
        <v>47.772399999999998</v>
      </c>
    </row>
    <row r="52" spans="5:44" x14ac:dyDescent="0.25">
      <c r="AJ52">
        <v>400</v>
      </c>
      <c r="AK52">
        <v>46.699800000000003</v>
      </c>
      <c r="AL52" s="12">
        <v>7.0688900000000004E-3</v>
      </c>
      <c r="AM52">
        <v>4.2000000000000003E-2</v>
      </c>
      <c r="AN52" s="11">
        <v>1.13424E-4</v>
      </c>
      <c r="AO52">
        <v>0.4007</v>
      </c>
      <c r="AP52">
        <v>14.966100000000001</v>
      </c>
      <c r="AQ52" s="12">
        <v>2.81239E-2</v>
      </c>
      <c r="AR52">
        <v>42.750999999999998</v>
      </c>
    </row>
    <row r="53" spans="5:44" x14ac:dyDescent="0.25">
      <c r="AJ53">
        <v>300</v>
      </c>
      <c r="AK53">
        <v>41.532699999999998</v>
      </c>
      <c r="AL53" s="12">
        <v>6.3214899999999999E-3</v>
      </c>
      <c r="AM53">
        <v>4.8000000000000001E-2</v>
      </c>
      <c r="AN53" s="11">
        <v>1.62709E-4</v>
      </c>
      <c r="AO53">
        <v>0.39760000000000001</v>
      </c>
      <c r="AP53">
        <v>16.780799999999999</v>
      </c>
      <c r="AQ53" s="12">
        <v>2.5524100000000001E-2</v>
      </c>
      <c r="AR53">
        <v>37.731699999999996</v>
      </c>
    </row>
    <row r="54" spans="5:44" x14ac:dyDescent="0.25">
      <c r="AJ54">
        <v>200</v>
      </c>
      <c r="AK54">
        <v>35.721899999999998</v>
      </c>
      <c r="AL54" s="12">
        <v>5.4440199999999999E-3</v>
      </c>
      <c r="AM54">
        <v>5.6599999999999998E-2</v>
      </c>
      <c r="AN54" s="11">
        <v>2.59733E-4</v>
      </c>
      <c r="AO54">
        <v>0.39439999999999997</v>
      </c>
      <c r="AP54">
        <v>19.563700000000001</v>
      </c>
      <c r="AQ54" s="12">
        <v>2.24776E-2</v>
      </c>
      <c r="AR54">
        <v>32.689900000000002</v>
      </c>
    </row>
    <row r="55" spans="5:44" x14ac:dyDescent="0.25">
      <c r="AJ55">
        <v>100</v>
      </c>
      <c r="AK55">
        <v>28.877800000000001</v>
      </c>
      <c r="AL55" s="12">
        <v>4.3801100000000004E-3</v>
      </c>
      <c r="AM55">
        <v>7.0999999999999994E-2</v>
      </c>
      <c r="AN55" s="11">
        <v>5.0162399999999999E-4</v>
      </c>
      <c r="AO55">
        <v>0.39119999999999999</v>
      </c>
      <c r="AP55">
        <v>24.4741</v>
      </c>
      <c r="AQ55" s="12">
        <v>1.8717500000000001E-2</v>
      </c>
      <c r="AR55">
        <v>27.630299999999998</v>
      </c>
    </row>
    <row r="56" spans="5:44" x14ac:dyDescent="0.25">
      <c r="AJ56">
        <v>0</v>
      </c>
      <c r="AK56">
        <v>20.0136</v>
      </c>
      <c r="AL56" s="12">
        <v>2.9930400000000002E-3</v>
      </c>
      <c r="AM56">
        <v>0.10199999999999999</v>
      </c>
      <c r="AN56" s="11">
        <v>1.5311599999999999E-3</v>
      </c>
      <c r="AO56">
        <v>0.38779999999999998</v>
      </c>
      <c r="AP56">
        <v>36.2759</v>
      </c>
      <c r="AQ56" s="12">
        <v>1.34868E-2</v>
      </c>
      <c r="AR56">
        <v>22.540199999999999</v>
      </c>
    </row>
    <row r="58" spans="5:44" x14ac:dyDescent="0.25">
      <c r="AJ58" t="s">
        <v>42</v>
      </c>
    </row>
    <row r="59" spans="5:44" x14ac:dyDescent="0.25">
      <c r="AJ59" t="s">
        <v>19</v>
      </c>
      <c r="AK59" t="s">
        <v>20</v>
      </c>
      <c r="AL59" t="s">
        <v>21</v>
      </c>
      <c r="AM59" t="s">
        <v>22</v>
      </c>
      <c r="AN59" t="s">
        <v>23</v>
      </c>
      <c r="AO59" t="s">
        <v>24</v>
      </c>
      <c r="AP59" t="s">
        <v>25</v>
      </c>
      <c r="AQ59" t="s">
        <v>26</v>
      </c>
      <c r="AR59" t="s">
        <v>27</v>
      </c>
    </row>
    <row r="60" spans="5:44" x14ac:dyDescent="0.25">
      <c r="W60" t="s">
        <v>42</v>
      </c>
      <c r="AJ60">
        <v>2000</v>
      </c>
      <c r="AK60">
        <v>139.79570000000001</v>
      </c>
      <c r="AL60" s="14">
        <v>1.5502699999999999E-2</v>
      </c>
      <c r="AM60">
        <v>3.0200000000000001E-2</v>
      </c>
      <c r="AN60" s="14">
        <v>3.7052399999999998E-5</v>
      </c>
      <c r="AO60">
        <v>0.50990000000000002</v>
      </c>
      <c r="AP60" s="12">
        <v>9.1995000000000005</v>
      </c>
      <c r="AQ60" s="11">
        <v>5.25189E-2</v>
      </c>
      <c r="AR60">
        <v>120</v>
      </c>
    </row>
    <row r="61" spans="5:44" x14ac:dyDescent="0.25">
      <c r="AJ61">
        <v>1900</v>
      </c>
      <c r="AK61">
        <v>135.2022</v>
      </c>
      <c r="AL61" s="14">
        <v>1.5126199999999999E-2</v>
      </c>
      <c r="AM61">
        <v>3.1E-2</v>
      </c>
      <c r="AN61" s="14">
        <v>3.0552400000000002E-5</v>
      </c>
      <c r="AO61">
        <v>0.50609999999999999</v>
      </c>
      <c r="AP61" s="12">
        <v>9.4450000000000003</v>
      </c>
      <c r="AQ61" s="11">
        <v>5.0858100000000003E-2</v>
      </c>
      <c r="AR61">
        <v>117.72750000000001</v>
      </c>
    </row>
    <row r="62" spans="5:44" x14ac:dyDescent="0.25">
      <c r="E62" t="s">
        <v>19</v>
      </c>
      <c r="F62" t="s">
        <v>20</v>
      </c>
      <c r="G62" t="s">
        <v>21</v>
      </c>
      <c r="H62" t="s">
        <v>22</v>
      </c>
      <c r="I62" t="s">
        <v>23</v>
      </c>
      <c r="J62" t="s">
        <v>24</v>
      </c>
      <c r="K62" t="s">
        <v>25</v>
      </c>
      <c r="L62" t="s">
        <v>26</v>
      </c>
      <c r="M62" t="s">
        <v>27</v>
      </c>
      <c r="V62" t="s">
        <v>19</v>
      </c>
      <c r="W62" t="s">
        <v>20</v>
      </c>
      <c r="X62" t="s">
        <v>21</v>
      </c>
      <c r="Y62" t="s">
        <v>22</v>
      </c>
      <c r="Z62" t="s">
        <v>23</v>
      </c>
      <c r="AA62" t="s">
        <v>24</v>
      </c>
      <c r="AB62" t="s">
        <v>25</v>
      </c>
      <c r="AC62" t="s">
        <v>26</v>
      </c>
      <c r="AD62" t="s">
        <v>27</v>
      </c>
      <c r="AJ62">
        <v>1800</v>
      </c>
      <c r="AK62">
        <v>130.57599999999999</v>
      </c>
      <c r="AL62" s="14">
        <v>1.48498E-2</v>
      </c>
      <c r="AM62">
        <v>3.15E-2</v>
      </c>
      <c r="AN62" s="14">
        <v>2.9610600000000001E-5</v>
      </c>
      <c r="AO62">
        <v>0.50209999999999999</v>
      </c>
      <c r="AP62" s="12">
        <v>9.6341999999999999</v>
      </c>
      <c r="AQ62" s="11">
        <v>4.9532E-2</v>
      </c>
      <c r="AR62">
        <v>113.64749999999999</v>
      </c>
    </row>
    <row r="63" spans="5:44" x14ac:dyDescent="0.25">
      <c r="F63">
        <v>97.370099999999994</v>
      </c>
      <c r="G63" s="11">
        <v>4.80972E-2</v>
      </c>
      <c r="H63" s="11">
        <v>1.7268599999999999E-4</v>
      </c>
      <c r="I63" s="11">
        <v>2.92394E-8</v>
      </c>
      <c r="J63" s="11">
        <v>0.2387</v>
      </c>
      <c r="K63" s="11">
        <v>0.16930000000000001</v>
      </c>
      <c r="L63">
        <v>0.75429999999999997</v>
      </c>
      <c r="M63">
        <v>120</v>
      </c>
      <c r="V63">
        <v>2000</v>
      </c>
      <c r="W63">
        <v>138.24780000000001</v>
      </c>
      <c r="X63" s="12">
        <v>1.5645300000000001E-2</v>
      </c>
      <c r="Y63" s="12">
        <v>2.9899999999999999E-2</v>
      </c>
      <c r="Z63" s="12">
        <v>3.5074000000000003E-5</v>
      </c>
      <c r="AA63" s="12">
        <v>0.66579999999999995</v>
      </c>
      <c r="AB63" s="12">
        <v>8.9550000000000001</v>
      </c>
      <c r="AC63" s="12">
        <v>6.9206900000000002E-2</v>
      </c>
      <c r="AD63">
        <v>120</v>
      </c>
      <c r="AJ63">
        <v>1700</v>
      </c>
      <c r="AK63">
        <v>125.9204</v>
      </c>
      <c r="AL63" s="14">
        <v>1.45939E-2</v>
      </c>
      <c r="AM63">
        <v>3.2099999999999997E-2</v>
      </c>
      <c r="AN63" s="14">
        <v>3.0790300000000002E-5</v>
      </c>
      <c r="AO63">
        <v>0.49790000000000001</v>
      </c>
      <c r="AP63" s="12">
        <v>9.8161000000000005</v>
      </c>
      <c r="AQ63" s="11">
        <v>4.8275100000000001E-2</v>
      </c>
      <c r="AR63">
        <v>108.9722</v>
      </c>
    </row>
    <row r="64" spans="5:44" x14ac:dyDescent="0.25">
      <c r="F64">
        <v>92.568700000000007</v>
      </c>
      <c r="G64" s="11">
        <v>4.76134E-2</v>
      </c>
      <c r="H64" s="11">
        <v>1.78424E-4</v>
      </c>
      <c r="I64" s="11">
        <v>2.2334399999999998E-8</v>
      </c>
      <c r="J64" s="11">
        <v>0.23649999999999999</v>
      </c>
      <c r="K64" s="11">
        <v>0.1804</v>
      </c>
      <c r="L64">
        <v>0.74260000000000004</v>
      </c>
      <c r="M64">
        <v>115.5274</v>
      </c>
      <c r="V64">
        <v>1900</v>
      </c>
      <c r="W64">
        <v>133.67590000000001</v>
      </c>
      <c r="X64" s="12">
        <v>1.5406899999999999E-2</v>
      </c>
      <c r="Y64" s="12">
        <v>3.04E-2</v>
      </c>
      <c r="Z64" s="12">
        <v>2.4446600000000001E-5</v>
      </c>
      <c r="AA64" s="12">
        <v>0.65810000000000002</v>
      </c>
      <c r="AB64" s="12">
        <v>9.1115999999999993</v>
      </c>
      <c r="AC64" s="12">
        <v>6.7363099999999995E-2</v>
      </c>
      <c r="AD64">
        <v>115.5145</v>
      </c>
      <c r="AJ64">
        <v>1600</v>
      </c>
      <c r="AK64">
        <v>121.2338</v>
      </c>
      <c r="AL64" s="14">
        <v>1.4332299999999999E-2</v>
      </c>
      <c r="AM64">
        <v>3.27E-2</v>
      </c>
      <c r="AN64" s="14">
        <v>3.2898100000000003E-5</v>
      </c>
      <c r="AO64">
        <v>0.49359999999999998</v>
      </c>
      <c r="AP64" s="12">
        <v>10.008599999999999</v>
      </c>
      <c r="AQ64" s="11">
        <v>4.7002299999999997E-2</v>
      </c>
      <c r="AR64">
        <v>104.0795</v>
      </c>
    </row>
    <row r="65" spans="6:44" x14ac:dyDescent="0.25">
      <c r="F65">
        <v>87.813199999999995</v>
      </c>
      <c r="G65" s="11">
        <v>4.71245E-2</v>
      </c>
      <c r="H65" s="11">
        <v>1.84613E-4</v>
      </c>
      <c r="I65" s="11">
        <v>2.47385E-8</v>
      </c>
      <c r="J65" s="11">
        <v>0.23430000000000001</v>
      </c>
      <c r="K65" s="11">
        <v>0.192</v>
      </c>
      <c r="L65">
        <v>0.73080000000000001</v>
      </c>
      <c r="M65">
        <v>110.5274</v>
      </c>
      <c r="V65">
        <v>1800</v>
      </c>
      <c r="W65">
        <v>129.08279999999999</v>
      </c>
      <c r="X65" s="12">
        <v>1.5185199999999999E-2</v>
      </c>
      <c r="Y65" s="12">
        <v>3.0800000000000001E-2</v>
      </c>
      <c r="Z65" s="12">
        <v>2.6193599999999999E-5</v>
      </c>
      <c r="AA65" s="12">
        <v>0.65039999999999998</v>
      </c>
      <c r="AB65" s="12">
        <v>9.2620000000000005</v>
      </c>
      <c r="AC65" s="12">
        <v>6.5618200000000002E-2</v>
      </c>
      <c r="AD65">
        <v>110.5149</v>
      </c>
      <c r="AJ65">
        <v>1500</v>
      </c>
      <c r="AK65">
        <v>116.5124</v>
      </c>
      <c r="AL65" s="14">
        <v>1.4054000000000001E-2</v>
      </c>
      <c r="AM65">
        <v>3.3300000000000003E-2</v>
      </c>
      <c r="AN65" s="14">
        <v>3.5636200000000003E-5</v>
      </c>
      <c r="AO65">
        <v>0.48920000000000002</v>
      </c>
      <c r="AP65" s="12">
        <v>10.221</v>
      </c>
      <c r="AQ65" s="11">
        <v>4.5679600000000001E-2</v>
      </c>
      <c r="AR65">
        <v>99.108099999999993</v>
      </c>
    </row>
    <row r="66" spans="6:44" x14ac:dyDescent="0.25">
      <c r="F66">
        <v>83.109300000000005</v>
      </c>
      <c r="G66" s="11">
        <v>4.6568600000000002E-2</v>
      </c>
      <c r="H66" s="11">
        <v>1.9165799999999999E-4</v>
      </c>
      <c r="I66" s="11">
        <v>2.7486799999999999E-8</v>
      </c>
      <c r="J66" s="11">
        <v>0.23200000000000001</v>
      </c>
      <c r="K66" s="11">
        <v>0.2049</v>
      </c>
      <c r="L66">
        <v>0.71819999999999995</v>
      </c>
      <c r="M66">
        <v>105.5275</v>
      </c>
      <c r="V66">
        <v>1700</v>
      </c>
      <c r="W66">
        <v>124.4658</v>
      </c>
      <c r="X66" s="12">
        <v>1.4944799999999999E-2</v>
      </c>
      <c r="Y66" s="12">
        <v>3.1300000000000001E-2</v>
      </c>
      <c r="Z66" s="12">
        <v>2.81796E-5</v>
      </c>
      <c r="AA66" s="12">
        <v>0.64239999999999997</v>
      </c>
      <c r="AB66" s="12">
        <v>9.4293999999999993</v>
      </c>
      <c r="AC66" s="12">
        <v>6.3785499999999995E-2</v>
      </c>
      <c r="AD66">
        <v>105.51519999999999</v>
      </c>
      <c r="AJ66">
        <v>1400</v>
      </c>
      <c r="AK66">
        <v>111.75109999999999</v>
      </c>
      <c r="AL66" s="14">
        <v>1.37535E-2</v>
      </c>
      <c r="AM66">
        <v>3.4000000000000002E-2</v>
      </c>
      <c r="AN66" s="14">
        <v>3.89386E-5</v>
      </c>
      <c r="AO66">
        <v>0.48470000000000002</v>
      </c>
      <c r="AP66" s="12">
        <v>10.4595</v>
      </c>
      <c r="AQ66" s="11">
        <v>4.42911E-2</v>
      </c>
      <c r="AR66">
        <v>94.108500000000006</v>
      </c>
    </row>
    <row r="67" spans="6:44" x14ac:dyDescent="0.25">
      <c r="F67">
        <v>78.463700000000003</v>
      </c>
      <c r="G67" s="11">
        <v>4.5940500000000002E-2</v>
      </c>
      <c r="H67" s="11">
        <v>1.9969599999999999E-4</v>
      </c>
      <c r="I67" s="11">
        <v>3.0639199999999998E-8</v>
      </c>
      <c r="J67" s="11">
        <v>0.2298</v>
      </c>
      <c r="K67" s="11">
        <v>0.21929999999999999</v>
      </c>
      <c r="L67">
        <v>0.70479999999999998</v>
      </c>
      <c r="M67">
        <v>100.5275</v>
      </c>
      <c r="V67">
        <v>1600</v>
      </c>
      <c r="W67">
        <v>119.8211</v>
      </c>
      <c r="X67" s="12">
        <v>1.4683999999999999E-2</v>
      </c>
      <c r="Y67" s="12">
        <v>3.1899999999999998E-2</v>
      </c>
      <c r="Z67" s="12">
        <v>3.0454700000000002E-5</v>
      </c>
      <c r="AA67" s="12">
        <v>0.6341</v>
      </c>
      <c r="AB67" s="12">
        <v>9.6166</v>
      </c>
      <c r="AC67" s="12">
        <v>6.1860600000000002E-2</v>
      </c>
      <c r="AD67">
        <v>100.51560000000001</v>
      </c>
      <c r="AJ67">
        <v>1300</v>
      </c>
      <c r="AK67">
        <v>106.9432</v>
      </c>
      <c r="AL67" s="14">
        <v>1.3427100000000001E-2</v>
      </c>
      <c r="AM67">
        <v>3.49E-2</v>
      </c>
      <c r="AN67" s="14">
        <v>4.2873200000000001E-5</v>
      </c>
      <c r="AO67">
        <v>0.48010000000000003</v>
      </c>
      <c r="AP67" s="12">
        <v>10.7302</v>
      </c>
      <c r="AQ67" s="11">
        <v>4.2827200000000003E-2</v>
      </c>
      <c r="AR67">
        <v>89.097899999999996</v>
      </c>
    </row>
    <row r="68" spans="6:44" x14ac:dyDescent="0.25">
      <c r="F68">
        <v>73.884</v>
      </c>
      <c r="G68" s="11">
        <v>4.5234999999999997E-2</v>
      </c>
      <c r="H68" s="11">
        <v>2.08889E-4</v>
      </c>
      <c r="I68" s="11">
        <v>3.4267900000000001E-8</v>
      </c>
      <c r="J68" s="11">
        <v>0.22750000000000001</v>
      </c>
      <c r="K68" s="11">
        <v>0.2354</v>
      </c>
      <c r="L68">
        <v>0.6905</v>
      </c>
      <c r="M68">
        <v>95.527500000000003</v>
      </c>
      <c r="V68">
        <v>1500</v>
      </c>
      <c r="W68">
        <v>115.1443</v>
      </c>
      <c r="X68" s="12">
        <v>1.4400700000000001E-2</v>
      </c>
      <c r="Y68" s="12">
        <v>3.2500000000000001E-2</v>
      </c>
      <c r="Z68" s="12">
        <v>3.3083700000000003E-5</v>
      </c>
      <c r="AA68" s="12">
        <v>0.62549999999999994</v>
      </c>
      <c r="AB68" s="12">
        <v>9.8269000000000002</v>
      </c>
      <c r="AC68" s="12">
        <v>5.98389E-2</v>
      </c>
      <c r="AD68">
        <v>95.516000000000005</v>
      </c>
      <c r="AJ68">
        <v>1200</v>
      </c>
      <c r="AK68">
        <v>102.08029999999999</v>
      </c>
      <c r="AL68" s="14">
        <v>1.3071299999999999E-2</v>
      </c>
      <c r="AM68">
        <v>3.5799999999999998E-2</v>
      </c>
      <c r="AN68" s="14">
        <v>4.75882E-5</v>
      </c>
      <c r="AO68">
        <v>0.47539999999999999</v>
      </c>
      <c r="AP68" s="12">
        <v>11.040100000000001</v>
      </c>
      <c r="AQ68" s="11">
        <v>4.12796E-2</v>
      </c>
      <c r="AR68">
        <v>84.081900000000005</v>
      </c>
    </row>
    <row r="69" spans="6:44" x14ac:dyDescent="0.25">
      <c r="F69">
        <v>69.377899999999997</v>
      </c>
      <c r="G69" s="11">
        <v>4.4447E-2</v>
      </c>
      <c r="H69" s="11">
        <v>2.1943E-4</v>
      </c>
      <c r="I69" s="11">
        <v>3.8459799999999997E-8</v>
      </c>
      <c r="J69" s="11">
        <v>0.2253</v>
      </c>
      <c r="K69" s="11">
        <v>0.25340000000000001</v>
      </c>
      <c r="L69">
        <v>0.67530000000000001</v>
      </c>
      <c r="M69">
        <v>90.527500000000003</v>
      </c>
      <c r="V69">
        <v>1400</v>
      </c>
      <c r="W69">
        <v>110.43</v>
      </c>
      <c r="X69" s="12">
        <v>1.40927E-2</v>
      </c>
      <c r="Y69" s="12">
        <v>3.32E-2</v>
      </c>
      <c r="Z69" s="12">
        <v>3.6151400000000001E-5</v>
      </c>
      <c r="AA69" s="12">
        <v>0.61639999999999995</v>
      </c>
      <c r="AB69" s="12">
        <v>10.064399999999999</v>
      </c>
      <c r="AC69" s="12">
        <v>5.77149E-2</v>
      </c>
      <c r="AD69">
        <v>90.516499999999994</v>
      </c>
      <c r="AJ69">
        <v>1100</v>
      </c>
      <c r="AK69">
        <v>97.152000000000001</v>
      </c>
      <c r="AL69" s="14">
        <v>1.2682499999999999E-2</v>
      </c>
      <c r="AM69">
        <v>3.6900000000000002E-2</v>
      </c>
      <c r="AN69" s="14">
        <v>5.3310299999999997E-5</v>
      </c>
      <c r="AO69">
        <v>0.47049999999999997</v>
      </c>
      <c r="AP69" s="12">
        <v>11.398</v>
      </c>
      <c r="AQ69" s="11">
        <v>3.9639800000000003E-2</v>
      </c>
      <c r="AR69">
        <v>79.062100000000001</v>
      </c>
    </row>
    <row r="70" spans="6:44" x14ac:dyDescent="0.25">
      <c r="F70">
        <v>64.953800000000001</v>
      </c>
      <c r="G70" s="11">
        <v>4.3571800000000001E-2</v>
      </c>
      <c r="H70" s="11">
        <v>2.3155199999999999E-4</v>
      </c>
      <c r="I70" s="11">
        <v>4.3320500000000001E-8</v>
      </c>
      <c r="J70" s="11">
        <v>0.223</v>
      </c>
      <c r="K70" s="11">
        <v>0.2737</v>
      </c>
      <c r="L70">
        <v>0.6593</v>
      </c>
      <c r="M70">
        <v>85.527500000000003</v>
      </c>
      <c r="V70">
        <v>1300</v>
      </c>
      <c r="W70">
        <v>105.6717</v>
      </c>
      <c r="X70" s="12">
        <v>1.37571E-2</v>
      </c>
      <c r="Y70" s="12">
        <v>3.4000000000000002E-2</v>
      </c>
      <c r="Z70" s="12">
        <v>3.9771300000000003E-5</v>
      </c>
      <c r="AA70" s="12">
        <v>0.60709999999999997</v>
      </c>
      <c r="AB70" s="12">
        <v>10.334300000000001</v>
      </c>
      <c r="AC70" s="12">
        <v>5.5482700000000003E-2</v>
      </c>
      <c r="AD70">
        <v>85.516900000000007</v>
      </c>
      <c r="AJ70">
        <v>1000</v>
      </c>
      <c r="AK70">
        <v>92.144999999999996</v>
      </c>
      <c r="AL70" s="14">
        <v>1.2256400000000001E-2</v>
      </c>
      <c r="AM70">
        <v>3.8199999999999998E-2</v>
      </c>
      <c r="AN70" s="14">
        <v>6.0371500000000003E-5</v>
      </c>
      <c r="AO70">
        <v>0.46539999999999998</v>
      </c>
      <c r="AP70" s="12">
        <v>11.8156</v>
      </c>
      <c r="AQ70" s="11">
        <v>3.78982E-2</v>
      </c>
      <c r="AR70">
        <v>74.038799999999995</v>
      </c>
    </row>
    <row r="71" spans="6:44" x14ac:dyDescent="0.25">
      <c r="F71">
        <v>60.6205</v>
      </c>
      <c r="G71" s="11">
        <v>4.2605200000000003E-2</v>
      </c>
      <c r="H71" s="11">
        <v>2.4553299999999998E-4</v>
      </c>
      <c r="I71" s="11">
        <v>4.89788E-8</v>
      </c>
      <c r="J71" s="11">
        <v>0.2208</v>
      </c>
      <c r="K71" s="11">
        <v>0.29649999999999999</v>
      </c>
      <c r="L71">
        <v>0.64229999999999998</v>
      </c>
      <c r="M71">
        <v>80.5274</v>
      </c>
      <c r="V71">
        <v>1200</v>
      </c>
      <c r="W71">
        <v>100.8612</v>
      </c>
      <c r="X71" s="12">
        <v>1.3390900000000001E-2</v>
      </c>
      <c r="Y71" s="12">
        <v>3.5000000000000003E-2</v>
      </c>
      <c r="Z71" s="12">
        <v>4.4097800000000003E-5</v>
      </c>
      <c r="AA71" s="12">
        <v>0.59730000000000005</v>
      </c>
      <c r="AB71" s="12">
        <v>10.6433</v>
      </c>
      <c r="AC71" s="12">
        <v>5.3135700000000001E-2</v>
      </c>
      <c r="AD71">
        <v>80.517399999999995</v>
      </c>
      <c r="AJ71">
        <v>900</v>
      </c>
      <c r="AK71">
        <v>87.042400000000001</v>
      </c>
      <c r="AL71" s="14">
        <v>1.1788E-2</v>
      </c>
      <c r="AM71">
        <v>3.9699999999999999E-2</v>
      </c>
      <c r="AN71" s="14">
        <v>6.92641E-5</v>
      </c>
      <c r="AO71">
        <v>0.4602</v>
      </c>
      <c r="AP71" s="12">
        <v>12.3088</v>
      </c>
      <c r="AQ71" s="11">
        <v>3.6043499999999999E-2</v>
      </c>
      <c r="AR71">
        <v>69.011399999999995</v>
      </c>
    </row>
    <row r="72" spans="6:44" x14ac:dyDescent="0.25">
      <c r="F72">
        <v>56.387099999999997</v>
      </c>
      <c r="G72" s="11">
        <v>4.1543900000000002E-2</v>
      </c>
      <c r="H72" s="11">
        <v>2.6171099999999997E-4</v>
      </c>
      <c r="I72" s="11">
        <v>5.5591999999999999E-8</v>
      </c>
      <c r="J72" s="11">
        <v>0.21859999999999999</v>
      </c>
      <c r="K72" s="11">
        <v>0.32219999999999999</v>
      </c>
      <c r="L72">
        <v>0.62450000000000006</v>
      </c>
      <c r="M72">
        <v>75.5274</v>
      </c>
      <c r="V72">
        <v>1100</v>
      </c>
      <c r="W72">
        <v>95.988399999999999</v>
      </c>
      <c r="X72" s="12">
        <v>1.29903E-2</v>
      </c>
      <c r="Y72" s="12">
        <v>3.5999999999999997E-2</v>
      </c>
      <c r="Z72" s="12">
        <v>4.9346299999999999E-5</v>
      </c>
      <c r="AA72" s="12">
        <v>0.58709999999999996</v>
      </c>
      <c r="AB72" s="12">
        <v>11.0001</v>
      </c>
      <c r="AC72" s="12">
        <v>5.0666200000000002E-2</v>
      </c>
      <c r="AD72">
        <v>75.518000000000001</v>
      </c>
      <c r="AJ72">
        <v>800</v>
      </c>
      <c r="AK72">
        <v>81.821899999999999</v>
      </c>
      <c r="AL72" s="14">
        <v>1.12715E-2</v>
      </c>
      <c r="AM72">
        <v>4.1500000000000002E-2</v>
      </c>
      <c r="AN72" s="14">
        <v>8.0757699999999994E-5</v>
      </c>
      <c r="AO72">
        <v>0.45490000000000003</v>
      </c>
      <c r="AP72" s="12">
        <v>12.8992</v>
      </c>
      <c r="AQ72" s="11">
        <v>3.40624E-2</v>
      </c>
      <c r="AR72">
        <v>63.975900000000003</v>
      </c>
    </row>
    <row r="73" spans="6:44" x14ac:dyDescent="0.25">
      <c r="F73">
        <v>52.262900000000002</v>
      </c>
      <c r="G73" s="11">
        <v>4.0385499999999998E-2</v>
      </c>
      <c r="H73" s="11">
        <v>2.8049800000000001E-4</v>
      </c>
      <c r="I73" s="11">
        <v>6.3353800000000002E-8</v>
      </c>
      <c r="J73" s="11">
        <v>0.21640000000000001</v>
      </c>
      <c r="K73" s="11">
        <v>0.35139999999999999</v>
      </c>
      <c r="L73">
        <v>0.60580000000000001</v>
      </c>
      <c r="M73">
        <v>70.527299999999997</v>
      </c>
      <c r="V73">
        <v>1000</v>
      </c>
      <c r="W73">
        <v>91.040400000000005</v>
      </c>
      <c r="X73" s="12">
        <v>1.2551100000000001E-2</v>
      </c>
      <c r="Y73" s="12">
        <v>3.73E-2</v>
      </c>
      <c r="Z73" s="12">
        <v>5.5825500000000003E-5</v>
      </c>
      <c r="AA73" s="12">
        <v>0.57640000000000002</v>
      </c>
      <c r="AB73" s="12">
        <v>11.4163</v>
      </c>
      <c r="AC73" s="12">
        <v>4.8065400000000001E-2</v>
      </c>
      <c r="AD73">
        <v>70.518500000000003</v>
      </c>
      <c r="AJ73">
        <v>700</v>
      </c>
      <c r="AK73">
        <v>76.453400000000002</v>
      </c>
      <c r="AL73" s="14">
        <v>1.06991E-2</v>
      </c>
      <c r="AM73">
        <v>4.3799999999999999E-2</v>
      </c>
      <c r="AN73" s="14">
        <v>9.6036600000000001E-5</v>
      </c>
      <c r="AO73">
        <v>0.44929999999999998</v>
      </c>
      <c r="AP73" s="12">
        <v>13.6191</v>
      </c>
      <c r="AQ73" s="11">
        <v>3.1936800000000001E-2</v>
      </c>
      <c r="AR73">
        <v>58.937199999999997</v>
      </c>
    </row>
    <row r="74" spans="6:44" x14ac:dyDescent="0.25">
      <c r="F74">
        <v>48.257199999999997</v>
      </c>
      <c r="G74" s="11">
        <v>3.9137100000000001E-2</v>
      </c>
      <c r="H74" s="11">
        <v>3.0247E-4</v>
      </c>
      <c r="I74" s="11">
        <v>7.25214E-8</v>
      </c>
      <c r="J74" s="11">
        <v>0.2142</v>
      </c>
      <c r="K74" s="11">
        <v>0.3846</v>
      </c>
      <c r="L74">
        <v>0.58630000000000004</v>
      </c>
      <c r="M74">
        <v>65.527199999999993</v>
      </c>
      <c r="V74">
        <v>900</v>
      </c>
      <c r="W74">
        <v>86.000500000000002</v>
      </c>
      <c r="X74" s="12">
        <v>1.2068000000000001E-2</v>
      </c>
      <c r="Y74" s="12">
        <v>3.8800000000000001E-2</v>
      </c>
      <c r="Z74" s="12">
        <v>6.3992000000000007E-5</v>
      </c>
      <c r="AA74" s="12">
        <v>0.56530000000000002</v>
      </c>
      <c r="AB74" s="12">
        <v>11.907500000000001</v>
      </c>
      <c r="AC74" s="12">
        <v>4.5322899999999999E-2</v>
      </c>
      <c r="AD74">
        <v>65.519099999999995</v>
      </c>
      <c r="AJ74">
        <v>600</v>
      </c>
      <c r="AK74">
        <v>70.834699999999998</v>
      </c>
      <c r="AL74" s="14">
        <v>1.0051900000000001E-2</v>
      </c>
      <c r="AM74">
        <v>4.7500000000000001E-2</v>
      </c>
      <c r="AN74" s="14">
        <v>1.19701E-4</v>
      </c>
      <c r="AO74">
        <v>0.44350000000000001</v>
      </c>
      <c r="AP74" s="12">
        <v>14.5305</v>
      </c>
      <c r="AQ74" s="11">
        <v>2.9866400000000001E-2</v>
      </c>
      <c r="AR74">
        <v>53.882800000000003</v>
      </c>
    </row>
    <row r="75" spans="6:44" x14ac:dyDescent="0.25">
      <c r="F75">
        <v>44.378599999999999</v>
      </c>
      <c r="G75" s="11">
        <v>3.7793399999999998E-2</v>
      </c>
      <c r="H75" s="11">
        <v>3.2823100000000001E-4</v>
      </c>
      <c r="I75" s="11">
        <v>8.3398200000000001E-8</v>
      </c>
      <c r="J75" s="11">
        <v>0.21210000000000001</v>
      </c>
      <c r="K75" s="11">
        <v>0.42259999999999998</v>
      </c>
      <c r="L75">
        <v>0.56620000000000004</v>
      </c>
      <c r="M75">
        <v>60.527099999999997</v>
      </c>
      <c r="V75">
        <v>800</v>
      </c>
      <c r="W75">
        <v>80.846900000000005</v>
      </c>
      <c r="X75" s="12">
        <v>1.15348E-2</v>
      </c>
      <c r="Y75" s="12">
        <v>4.0599999999999997E-2</v>
      </c>
      <c r="Z75" s="12">
        <v>7.4546699999999996E-5</v>
      </c>
      <c r="AA75" s="12">
        <v>0.55369999999999997</v>
      </c>
      <c r="AB75" s="12">
        <v>12.4956</v>
      </c>
      <c r="AC75" s="12">
        <v>4.2426400000000003E-2</v>
      </c>
      <c r="AD75">
        <v>60.5197</v>
      </c>
      <c r="AJ75">
        <v>500</v>
      </c>
      <c r="AK75">
        <v>64.900599999999997</v>
      </c>
      <c r="AL75" s="14">
        <v>9.31535E-3</v>
      </c>
      <c r="AM75">
        <v>5.1700000000000003E-2</v>
      </c>
      <c r="AN75" s="14">
        <v>1.53354E-4</v>
      </c>
      <c r="AO75">
        <v>0.43740000000000001</v>
      </c>
      <c r="AP75" s="12">
        <v>15.72</v>
      </c>
      <c r="AQ75" s="11">
        <v>2.74281E-2</v>
      </c>
      <c r="AR75">
        <v>48.823599999999999</v>
      </c>
    </row>
    <row r="76" spans="6:44" x14ac:dyDescent="0.25">
      <c r="F76">
        <v>40.636400000000002</v>
      </c>
      <c r="G76" s="11">
        <v>3.6353200000000002E-2</v>
      </c>
      <c r="H76" s="11">
        <v>3.58549E-4</v>
      </c>
      <c r="I76" s="11">
        <v>9.6354899999999999E-8</v>
      </c>
      <c r="J76" s="11">
        <v>0.21</v>
      </c>
      <c r="K76" s="11">
        <v>0.46600000000000003</v>
      </c>
      <c r="L76">
        <v>0.54530000000000001</v>
      </c>
      <c r="M76">
        <v>55.527000000000001</v>
      </c>
      <c r="V76">
        <v>700</v>
      </c>
      <c r="W76">
        <v>75.55</v>
      </c>
      <c r="X76" s="12">
        <v>1.09438E-2</v>
      </c>
      <c r="Y76" s="12">
        <v>4.2799999999999998E-2</v>
      </c>
      <c r="Z76" s="12">
        <v>8.8614499999999997E-5</v>
      </c>
      <c r="AA76" s="12">
        <v>0.54139999999999999</v>
      </c>
      <c r="AB76" s="12">
        <v>13.212400000000001</v>
      </c>
      <c r="AC76" s="12">
        <v>3.9360800000000001E-2</v>
      </c>
      <c r="AD76">
        <v>55.520200000000003</v>
      </c>
      <c r="AJ76">
        <v>400</v>
      </c>
      <c r="AK76">
        <v>58.546199999999999</v>
      </c>
      <c r="AL76" s="14">
        <v>8.4703599999999997E-3</v>
      </c>
      <c r="AM76">
        <v>5.7500000000000002E-2</v>
      </c>
      <c r="AN76" s="14">
        <v>2.1218499999999999E-4</v>
      </c>
      <c r="AO76">
        <v>0.43090000000000001</v>
      </c>
      <c r="AP76" s="12">
        <v>17.337199999999999</v>
      </c>
      <c r="AQ76" s="11">
        <v>2.4746799999999999E-2</v>
      </c>
      <c r="AR76">
        <v>43.761400000000002</v>
      </c>
    </row>
    <row r="77" spans="6:44" x14ac:dyDescent="0.25">
      <c r="F77">
        <v>37.039700000000003</v>
      </c>
      <c r="G77" s="11">
        <v>3.4820200000000003E-2</v>
      </c>
      <c r="H77" s="11">
        <v>3.94418E-4</v>
      </c>
      <c r="I77" s="11">
        <v>1.11873E-7</v>
      </c>
      <c r="J77" s="11">
        <v>0.20799999999999999</v>
      </c>
      <c r="K77" s="11">
        <v>0.51600000000000001</v>
      </c>
      <c r="L77">
        <v>0.52370000000000005</v>
      </c>
      <c r="M77">
        <v>50.526800000000001</v>
      </c>
      <c r="V77">
        <v>600</v>
      </c>
      <c r="W77">
        <v>69.993899999999996</v>
      </c>
      <c r="X77" s="12">
        <v>1.0277E-2</v>
      </c>
      <c r="Y77" s="12">
        <v>4.65E-2</v>
      </c>
      <c r="Z77" s="12">
        <v>1.1561399999999999E-4</v>
      </c>
      <c r="AA77" s="12">
        <v>0.52829999999999999</v>
      </c>
      <c r="AB77" s="12">
        <v>14.117599999999999</v>
      </c>
      <c r="AC77" s="12">
        <v>3.6318299999999998E-2</v>
      </c>
      <c r="AD77">
        <v>50.441899999999997</v>
      </c>
      <c r="AJ77">
        <v>300</v>
      </c>
      <c r="AK77">
        <v>51.576599999999999</v>
      </c>
      <c r="AL77" s="14">
        <v>7.4856200000000001E-3</v>
      </c>
      <c r="AM77">
        <v>6.59E-2</v>
      </c>
      <c r="AN77" s="14">
        <v>3.13092E-4</v>
      </c>
      <c r="AO77">
        <v>0.4239</v>
      </c>
      <c r="AP77" s="12">
        <v>19.679600000000001</v>
      </c>
      <c r="AQ77" s="11">
        <v>2.1744800000000002E-2</v>
      </c>
      <c r="AR77">
        <v>38.684100000000001</v>
      </c>
    </row>
    <row r="78" spans="6:44" x14ac:dyDescent="0.25">
      <c r="F78">
        <v>33.596800000000002</v>
      </c>
      <c r="G78" s="11">
        <v>3.3199899999999997E-2</v>
      </c>
      <c r="H78" s="11">
        <v>4.3710899999999998E-4</v>
      </c>
      <c r="I78" s="11">
        <v>1.3056700000000001E-7</v>
      </c>
      <c r="J78" s="11">
        <v>0.20599999999999999</v>
      </c>
      <c r="K78" s="11">
        <v>0.57379999999999998</v>
      </c>
      <c r="L78">
        <v>0.50170000000000003</v>
      </c>
      <c r="M78">
        <v>45.526600000000002</v>
      </c>
      <c r="V78">
        <v>500</v>
      </c>
      <c r="W78">
        <v>64.144999999999996</v>
      </c>
      <c r="X78" s="12">
        <v>9.5113300000000001E-3</v>
      </c>
      <c r="Y78" s="12">
        <v>5.0599999999999999E-2</v>
      </c>
      <c r="Z78" s="12">
        <v>1.41531E-4</v>
      </c>
      <c r="AA78" s="12">
        <v>0.51429999999999998</v>
      </c>
      <c r="AB78" s="12">
        <v>15.31</v>
      </c>
      <c r="AC78" s="12">
        <v>3.2848799999999997E-2</v>
      </c>
      <c r="AD78">
        <v>45.521099999999997</v>
      </c>
      <c r="AJ78">
        <v>200</v>
      </c>
      <c r="AK78">
        <v>43.642200000000003</v>
      </c>
      <c r="AL78" s="14">
        <v>6.3100099999999996E-3</v>
      </c>
      <c r="AM78">
        <v>7.9200000000000007E-2</v>
      </c>
      <c r="AN78" s="14">
        <v>5.2901599999999999E-4</v>
      </c>
      <c r="AO78">
        <v>0.41610000000000003</v>
      </c>
      <c r="AP78" s="12">
        <v>23.429200000000002</v>
      </c>
      <c r="AQ78" s="11">
        <v>1.8283799999999999E-2</v>
      </c>
      <c r="AR78">
        <v>33.580300000000001</v>
      </c>
    </row>
    <row r="79" spans="6:44" x14ac:dyDescent="0.25">
      <c r="F79">
        <v>30.315300000000001</v>
      </c>
      <c r="G79" s="11">
        <v>3.1499800000000001E-2</v>
      </c>
      <c r="H79" s="11">
        <v>4.8827700000000001E-4</v>
      </c>
      <c r="I79" s="11">
        <v>1.5323700000000001E-7</v>
      </c>
      <c r="J79" s="11">
        <v>0.2041</v>
      </c>
      <c r="K79" s="11">
        <v>0.64090000000000003</v>
      </c>
      <c r="L79">
        <v>0.47920000000000001</v>
      </c>
      <c r="M79">
        <v>40.526400000000002</v>
      </c>
      <c r="V79">
        <v>400</v>
      </c>
      <c r="W79">
        <v>57.886800000000001</v>
      </c>
      <c r="X79" s="12">
        <v>8.6397999999999996E-3</v>
      </c>
      <c r="Y79" s="12">
        <v>5.6300000000000003E-2</v>
      </c>
      <c r="Z79" s="12">
        <v>1.9884300000000001E-4</v>
      </c>
      <c r="AA79" s="12">
        <v>0.49919999999999998</v>
      </c>
      <c r="AB79" s="12">
        <v>16.920100000000001</v>
      </c>
      <c r="AC79" s="12">
        <v>2.91323E-2</v>
      </c>
      <c r="AD79">
        <v>40.521299999999997</v>
      </c>
      <c r="AJ79">
        <v>100</v>
      </c>
      <c r="AK79">
        <v>33.986899999999999</v>
      </c>
      <c r="AL79" s="14">
        <v>4.8421100000000002E-3</v>
      </c>
      <c r="AM79">
        <v>0.1041</v>
      </c>
      <c r="AN79" s="14">
        <v>1.1672799999999999E-3</v>
      </c>
      <c r="AO79">
        <v>0.4073</v>
      </c>
      <c r="AP79" s="12">
        <v>30.662600000000001</v>
      </c>
      <c r="AQ79" s="11">
        <v>1.40626E-2</v>
      </c>
      <c r="AR79">
        <v>28.433</v>
      </c>
    </row>
    <row r="80" spans="6:44" x14ac:dyDescent="0.25">
      <c r="F80">
        <v>27.203099999999999</v>
      </c>
      <c r="G80" s="11">
        <v>2.5535499999999999E-2</v>
      </c>
      <c r="H80" s="11">
        <v>4.6924199999999998E-4</v>
      </c>
      <c r="I80" s="11">
        <v>1.49518E-7</v>
      </c>
      <c r="J80" s="11">
        <v>0.20230000000000001</v>
      </c>
      <c r="K80" s="11">
        <v>0.71909999999999996</v>
      </c>
      <c r="L80">
        <v>0.39350000000000002</v>
      </c>
      <c r="M80">
        <v>35.526299999999999</v>
      </c>
      <c r="V80">
        <v>300</v>
      </c>
      <c r="W80">
        <v>51.029200000000003</v>
      </c>
      <c r="X80" s="12">
        <v>7.6259600000000002E-3</v>
      </c>
      <c r="Y80" s="12">
        <v>6.4600000000000005E-2</v>
      </c>
      <c r="Z80" s="12">
        <v>2.9425099999999999E-4</v>
      </c>
      <c r="AA80" s="12">
        <v>0.48249999999999998</v>
      </c>
      <c r="AB80" s="12">
        <v>19.2501</v>
      </c>
      <c r="AC80" s="12">
        <v>2.5079899999999999E-2</v>
      </c>
      <c r="AD80">
        <v>35.522799999999997</v>
      </c>
      <c r="AJ80">
        <v>0</v>
      </c>
      <c r="AK80">
        <v>20.075299999999999</v>
      </c>
      <c r="AL80" s="14">
        <v>2.75969E-3</v>
      </c>
      <c r="AM80">
        <v>0.17979999999999999</v>
      </c>
      <c r="AN80" s="14">
        <v>6.0388100000000004E-3</v>
      </c>
      <c r="AO80">
        <v>0.39600000000000002</v>
      </c>
      <c r="AP80" s="12">
        <v>54.125399999999999</v>
      </c>
      <c r="AQ80" s="11">
        <v>8.03304E-3</v>
      </c>
      <c r="AR80">
        <v>23.168399999999998</v>
      </c>
    </row>
    <row r="81" spans="6:44" x14ac:dyDescent="0.25">
      <c r="F81">
        <v>24.6769</v>
      </c>
      <c r="G81" s="11">
        <v>2.4006599999999999E-2</v>
      </c>
      <c r="H81" s="11">
        <v>5.1770099999999997E-4</v>
      </c>
      <c r="I81" s="11">
        <v>1.7096099999999999E-7</v>
      </c>
      <c r="J81" s="11">
        <v>0.20069999999999999</v>
      </c>
      <c r="K81" s="11">
        <v>0.79379999999999995</v>
      </c>
      <c r="L81">
        <v>0.37369999999999998</v>
      </c>
      <c r="M81">
        <v>30.525500000000001</v>
      </c>
      <c r="V81">
        <v>200</v>
      </c>
      <c r="W81">
        <v>43.2301</v>
      </c>
      <c r="X81" s="12">
        <v>6.4192199999999998E-3</v>
      </c>
      <c r="Y81" s="12">
        <v>7.7600000000000002E-2</v>
      </c>
      <c r="Z81" s="12">
        <v>4.9920599999999998E-4</v>
      </c>
      <c r="AA81" s="12">
        <v>0.46379999999999999</v>
      </c>
      <c r="AB81" s="12">
        <v>22.974399999999999</v>
      </c>
      <c r="AC81" s="12">
        <v>2.0572500000000001E-2</v>
      </c>
      <c r="AD81">
        <v>30.524699999999999</v>
      </c>
    </row>
    <row r="82" spans="6:44" x14ac:dyDescent="0.25">
      <c r="F82">
        <v>22.2988</v>
      </c>
      <c r="G82" s="11">
        <v>2.24718E-2</v>
      </c>
      <c r="H82" s="11">
        <v>5.7538100000000003E-4</v>
      </c>
      <c r="I82" s="11">
        <v>1.9635999999999999E-7</v>
      </c>
      <c r="J82" s="11">
        <v>0.1991</v>
      </c>
      <c r="K82" s="11">
        <v>0.87890000000000001</v>
      </c>
      <c r="L82">
        <v>0.35410000000000003</v>
      </c>
      <c r="M82">
        <v>25.525300000000001</v>
      </c>
      <c r="V82">
        <v>100</v>
      </c>
      <c r="W82">
        <v>33.747300000000003</v>
      </c>
      <c r="X82" s="12">
        <v>4.9195599999999999E-3</v>
      </c>
      <c r="Y82" s="12">
        <v>0.1021</v>
      </c>
      <c r="Z82" s="12">
        <v>1.10738E-3</v>
      </c>
      <c r="AA82" s="12">
        <v>0.44190000000000002</v>
      </c>
      <c r="AB82" s="12">
        <v>30.136299999999999</v>
      </c>
      <c r="AC82" s="12">
        <v>1.5350300000000001E-2</v>
      </c>
      <c r="AD82">
        <v>25.5274</v>
      </c>
    </row>
    <row r="83" spans="6:44" x14ac:dyDescent="0.25">
      <c r="F83">
        <v>20.067599999999999</v>
      </c>
      <c r="G83" s="11">
        <v>2.0940199999999999E-2</v>
      </c>
      <c r="H83" s="11">
        <v>6.4339499999999995E-4</v>
      </c>
      <c r="I83" s="11">
        <v>2.2646700000000001E-7</v>
      </c>
      <c r="J83" s="11">
        <v>0.1976</v>
      </c>
      <c r="K83" s="11">
        <v>0.97609999999999997</v>
      </c>
      <c r="L83">
        <v>0.33489999999999998</v>
      </c>
      <c r="M83">
        <v>20.524999999999999</v>
      </c>
      <c r="V83">
        <v>0</v>
      </c>
      <c r="W83">
        <v>20.088000000000001</v>
      </c>
      <c r="X83" s="12">
        <v>2.8084899999999999E-3</v>
      </c>
      <c r="Y83" s="12">
        <v>0.1764</v>
      </c>
      <c r="Z83" s="12">
        <v>5.7357099999999998E-3</v>
      </c>
      <c r="AA83" s="12">
        <v>0.41339999999999999</v>
      </c>
      <c r="AB83" s="12">
        <v>53.157200000000003</v>
      </c>
      <c r="AC83" s="12">
        <v>8.4602199999999992E-3</v>
      </c>
      <c r="AD83">
        <v>20.534199999999998</v>
      </c>
    </row>
    <row r="84" spans="6:44" x14ac:dyDescent="0.25">
      <c r="AJ84" t="s">
        <v>43</v>
      </c>
    </row>
    <row r="86" spans="6:44" x14ac:dyDescent="0.25">
      <c r="AJ86" t="s">
        <v>19</v>
      </c>
      <c r="AK86" t="s">
        <v>20</v>
      </c>
      <c r="AL86" t="s">
        <v>21</v>
      </c>
      <c r="AM86" t="s">
        <v>22</v>
      </c>
      <c r="AN86" t="s">
        <v>23</v>
      </c>
      <c r="AO86" t="s">
        <v>24</v>
      </c>
      <c r="AP86" t="s">
        <v>25</v>
      </c>
      <c r="AQ86" t="s">
        <v>26</v>
      </c>
      <c r="AR86" t="s">
        <v>27</v>
      </c>
    </row>
    <row r="87" spans="6:44" x14ac:dyDescent="0.25">
      <c r="AJ87">
        <v>2000</v>
      </c>
      <c r="AK87">
        <v>139.19800000000001</v>
      </c>
      <c r="AL87" s="11">
        <v>1.54346E-2</v>
      </c>
      <c r="AM87">
        <v>3.0300000000000001E-2</v>
      </c>
      <c r="AN87" s="11">
        <v>3.7283100000000002E-5</v>
      </c>
      <c r="AO87">
        <v>0.50939999999999996</v>
      </c>
      <c r="AP87" s="12">
        <v>9.2428000000000008</v>
      </c>
      <c r="AQ87" s="11">
        <v>5.2238399999999997E-2</v>
      </c>
      <c r="AR87">
        <v>120</v>
      </c>
    </row>
    <row r="88" spans="6:44" x14ac:dyDescent="0.25">
      <c r="AJ88">
        <v>1900</v>
      </c>
      <c r="AK88">
        <v>134.60579999999999</v>
      </c>
      <c r="AL88" s="11">
        <v>1.5203299999999999E-2</v>
      </c>
      <c r="AM88">
        <v>3.0800000000000001E-2</v>
      </c>
      <c r="AN88" s="11">
        <v>2.5999500000000001E-5</v>
      </c>
      <c r="AO88">
        <v>0.50549999999999995</v>
      </c>
      <c r="AP88" s="12">
        <v>9.3952000000000009</v>
      </c>
      <c r="AQ88" s="11">
        <v>5.10549E-2</v>
      </c>
      <c r="AR88">
        <v>115.51130000000001</v>
      </c>
    </row>
    <row r="89" spans="6:44" x14ac:dyDescent="0.25">
      <c r="AJ89">
        <v>1800</v>
      </c>
      <c r="AK89">
        <v>129.99199999999999</v>
      </c>
      <c r="AL89" s="11">
        <v>1.49883E-2</v>
      </c>
      <c r="AM89">
        <v>3.1199999999999999E-2</v>
      </c>
      <c r="AN89" s="11">
        <v>2.7837399999999999E-5</v>
      </c>
      <c r="AO89">
        <v>0.50139999999999996</v>
      </c>
      <c r="AP89" s="12">
        <v>9.5412999999999997</v>
      </c>
      <c r="AQ89" s="11">
        <v>4.99246E-2</v>
      </c>
      <c r="AR89">
        <v>110.5116</v>
      </c>
    </row>
    <row r="90" spans="6:44" x14ac:dyDescent="0.25">
      <c r="AJ90">
        <v>1700</v>
      </c>
      <c r="AK90">
        <v>125.35380000000001</v>
      </c>
      <c r="AL90" s="11">
        <v>1.4755300000000001E-2</v>
      </c>
      <c r="AM90">
        <v>3.1699999999999999E-2</v>
      </c>
      <c r="AN90" s="11">
        <v>2.9923299999999999E-5</v>
      </c>
      <c r="AO90">
        <v>0.49719999999999998</v>
      </c>
      <c r="AP90" s="12">
        <v>9.7041000000000004</v>
      </c>
      <c r="AQ90" s="11">
        <v>4.8736700000000001E-2</v>
      </c>
      <c r="AR90">
        <v>105.5119</v>
      </c>
    </row>
    <row r="91" spans="6:44" x14ac:dyDescent="0.25">
      <c r="AJ91">
        <v>1600</v>
      </c>
      <c r="AK91">
        <v>120.68729999999999</v>
      </c>
      <c r="AL91" s="11">
        <v>1.45024E-2</v>
      </c>
      <c r="AM91">
        <v>3.2300000000000002E-2</v>
      </c>
      <c r="AN91" s="11">
        <v>3.2308799999999998E-5</v>
      </c>
      <c r="AO91">
        <v>0.4929</v>
      </c>
      <c r="AP91" s="12">
        <v>9.8862000000000005</v>
      </c>
      <c r="AQ91" s="11">
        <v>4.7486899999999999E-2</v>
      </c>
      <c r="AR91">
        <v>100.5123</v>
      </c>
    </row>
    <row r="92" spans="6:44" x14ac:dyDescent="0.25">
      <c r="AJ92">
        <v>1500</v>
      </c>
      <c r="AK92">
        <v>115.9883</v>
      </c>
      <c r="AL92" s="11">
        <v>1.4227800000000001E-2</v>
      </c>
      <c r="AM92">
        <v>3.2899999999999999E-2</v>
      </c>
      <c r="AN92" s="11">
        <v>3.5060400000000001E-5</v>
      </c>
      <c r="AO92">
        <v>0.48849999999999999</v>
      </c>
      <c r="AP92" s="12">
        <v>10.090999999999999</v>
      </c>
      <c r="AQ92" s="11">
        <v>4.6170500000000003E-2</v>
      </c>
      <c r="AR92">
        <v>95.512600000000006</v>
      </c>
    </row>
    <row r="93" spans="6:44" x14ac:dyDescent="0.25">
      <c r="AJ93">
        <v>1400</v>
      </c>
      <c r="AK93">
        <v>111.2513</v>
      </c>
      <c r="AL93" s="11">
        <v>1.3928899999999999E-2</v>
      </c>
      <c r="AM93">
        <v>3.3599999999999998E-2</v>
      </c>
      <c r="AN93" s="11">
        <v>3.8265300000000001E-5</v>
      </c>
      <c r="AO93">
        <v>0.4839</v>
      </c>
      <c r="AP93" s="12">
        <v>10.3225</v>
      </c>
      <c r="AQ93" s="11">
        <v>4.4782099999999998E-2</v>
      </c>
      <c r="AR93">
        <v>90.513099999999994</v>
      </c>
    </row>
    <row r="94" spans="6:44" x14ac:dyDescent="0.25">
      <c r="AJ94">
        <v>1300</v>
      </c>
      <c r="AK94">
        <v>106.4697</v>
      </c>
      <c r="AL94" s="11">
        <v>1.36033E-2</v>
      </c>
      <c r="AM94">
        <v>3.44E-2</v>
      </c>
      <c r="AN94" s="11">
        <v>4.2039799999999997E-5</v>
      </c>
      <c r="AO94">
        <v>0.4793</v>
      </c>
      <c r="AP94" s="12">
        <v>10.585800000000001</v>
      </c>
      <c r="AQ94" s="11">
        <v>4.3315699999999999E-2</v>
      </c>
      <c r="AR94">
        <v>85.513499999999993</v>
      </c>
    </row>
    <row r="95" spans="6:44" x14ac:dyDescent="0.25">
      <c r="AJ95">
        <v>1200</v>
      </c>
      <c r="AK95">
        <v>101.6356</v>
      </c>
      <c r="AL95" s="11">
        <v>1.3247800000000001E-2</v>
      </c>
      <c r="AM95">
        <v>3.5299999999999998E-2</v>
      </c>
      <c r="AN95" s="11">
        <v>4.6542000000000003E-5</v>
      </c>
      <c r="AO95">
        <v>0.47449999999999998</v>
      </c>
      <c r="AP95" s="12">
        <v>10.887499999999999</v>
      </c>
      <c r="AQ95" s="11">
        <v>4.1764000000000003E-2</v>
      </c>
      <c r="AR95">
        <v>80.513999999999996</v>
      </c>
    </row>
    <row r="96" spans="6:44" x14ac:dyDescent="0.25">
      <c r="AJ96">
        <v>1100</v>
      </c>
      <c r="AK96">
        <v>96.738699999999994</v>
      </c>
      <c r="AL96" s="11">
        <v>1.2858700000000001E-2</v>
      </c>
      <c r="AM96">
        <v>3.6400000000000002E-2</v>
      </c>
      <c r="AN96" s="11">
        <v>5.19922E-5</v>
      </c>
      <c r="AO96">
        <v>0.46960000000000002</v>
      </c>
      <c r="AP96" s="12">
        <v>11.2362</v>
      </c>
      <c r="AQ96" s="11">
        <v>4.0118899999999999E-2</v>
      </c>
      <c r="AR96">
        <v>75.514499999999998</v>
      </c>
    </row>
    <row r="97" spans="1:44" x14ac:dyDescent="0.25">
      <c r="A97" s="1" t="s">
        <v>19</v>
      </c>
      <c r="B97" s="1" t="s">
        <v>20</v>
      </c>
      <c r="C97" s="1" t="s">
        <v>21</v>
      </c>
      <c r="D97" s="1" t="s">
        <v>22</v>
      </c>
      <c r="E97" s="1" t="s">
        <v>23</v>
      </c>
      <c r="F97" s="1" t="s">
        <v>24</v>
      </c>
      <c r="G97" s="1" t="s">
        <v>25</v>
      </c>
      <c r="H97" s="1" t="s">
        <v>26</v>
      </c>
      <c r="I97" s="1" t="s">
        <v>27</v>
      </c>
      <c r="AJ97">
        <v>1000</v>
      </c>
      <c r="AK97">
        <v>91.766400000000004</v>
      </c>
      <c r="AL97" s="11">
        <v>1.24318E-2</v>
      </c>
      <c r="AM97">
        <v>3.7699999999999997E-2</v>
      </c>
      <c r="AN97" s="11">
        <v>5.8705200000000002E-5</v>
      </c>
      <c r="AO97">
        <v>0.46460000000000001</v>
      </c>
      <c r="AP97" s="12">
        <v>11.6432</v>
      </c>
      <c r="AQ97" s="11">
        <v>3.8370599999999998E-2</v>
      </c>
      <c r="AR97">
        <v>70.515100000000004</v>
      </c>
    </row>
    <row r="98" spans="1:44" x14ac:dyDescent="0.25">
      <c r="AJ98">
        <v>900</v>
      </c>
      <c r="AK98">
        <v>86.702100000000002</v>
      </c>
      <c r="AL98" s="11">
        <v>1.1962E-2</v>
      </c>
      <c r="AM98">
        <v>3.9100000000000003E-2</v>
      </c>
      <c r="AN98" s="11">
        <v>6.7146100000000004E-5</v>
      </c>
      <c r="AO98">
        <v>0.45939999999999998</v>
      </c>
      <c r="AP98" s="12">
        <v>12.123900000000001</v>
      </c>
      <c r="AQ98" s="11">
        <v>3.6507499999999998E-2</v>
      </c>
      <c r="AR98">
        <v>65.515600000000006</v>
      </c>
    </row>
    <row r="99" spans="1:44" x14ac:dyDescent="0.25">
      <c r="AJ99">
        <v>800</v>
      </c>
      <c r="AK99">
        <v>81.524199999999993</v>
      </c>
      <c r="AL99" s="11">
        <v>1.1443099999999999E-2</v>
      </c>
      <c r="AM99">
        <v>4.0899999999999999E-2</v>
      </c>
      <c r="AN99" s="11">
        <v>7.8026600000000003E-5</v>
      </c>
      <c r="AO99">
        <v>0.45400000000000001</v>
      </c>
      <c r="AP99" s="12">
        <v>12.6998</v>
      </c>
      <c r="AQ99" s="11">
        <v>3.4515499999999998E-2</v>
      </c>
      <c r="AR99">
        <v>60.516199999999998</v>
      </c>
    </row>
    <row r="100" spans="1:44" x14ac:dyDescent="0.25">
      <c r="AJ100">
        <v>700</v>
      </c>
      <c r="AK100">
        <v>76.187200000000004</v>
      </c>
      <c r="AL100" s="11">
        <v>1.08649E-2</v>
      </c>
      <c r="AM100">
        <v>4.3799999999999999E-2</v>
      </c>
      <c r="AN100" s="11">
        <v>9.5670100000000004E-5</v>
      </c>
      <c r="AO100">
        <v>0.44850000000000001</v>
      </c>
      <c r="AP100" s="12">
        <v>13.405200000000001</v>
      </c>
      <c r="AQ100" s="11">
        <v>3.2566900000000003E-2</v>
      </c>
      <c r="AR100">
        <v>55.514000000000003</v>
      </c>
    </row>
    <row r="101" spans="1:44" x14ac:dyDescent="0.25">
      <c r="AJ101">
        <v>600</v>
      </c>
      <c r="AK101">
        <v>70.592799999999997</v>
      </c>
      <c r="AL101" s="11">
        <v>1.02071E-2</v>
      </c>
      <c r="AM101">
        <v>4.7E-2</v>
      </c>
      <c r="AN101" s="11">
        <v>1.1550800000000001E-4</v>
      </c>
      <c r="AO101">
        <v>0.44259999999999999</v>
      </c>
      <c r="AP101" s="12">
        <v>14.3035</v>
      </c>
      <c r="AQ101" s="11">
        <v>3.03071E-2</v>
      </c>
      <c r="AR101">
        <v>50.517299999999999</v>
      </c>
    </row>
    <row r="102" spans="1:44" x14ac:dyDescent="0.25">
      <c r="AJ102">
        <v>500</v>
      </c>
      <c r="AK102">
        <v>64.699600000000004</v>
      </c>
      <c r="AL102" s="11">
        <v>9.4604800000000003E-3</v>
      </c>
      <c r="AM102">
        <v>5.1200000000000002E-2</v>
      </c>
      <c r="AN102" s="11">
        <v>1.4785899999999999E-4</v>
      </c>
      <c r="AO102">
        <v>0.4365</v>
      </c>
      <c r="AP102" s="12">
        <v>15.4727</v>
      </c>
      <c r="AQ102" s="11">
        <v>2.7851899999999999E-2</v>
      </c>
      <c r="AR102">
        <v>45.517699999999998</v>
      </c>
    </row>
    <row r="103" spans="1:44" x14ac:dyDescent="0.25">
      <c r="AJ103">
        <v>400</v>
      </c>
      <c r="AK103">
        <v>58.386499999999998</v>
      </c>
      <c r="AL103" s="11">
        <v>8.6024299999999995E-3</v>
      </c>
      <c r="AM103">
        <v>5.7000000000000002E-2</v>
      </c>
      <c r="AN103" s="11">
        <v>2.0564300000000001E-4</v>
      </c>
      <c r="AO103">
        <v>0.43</v>
      </c>
      <c r="AP103" s="12">
        <v>17.064800000000002</v>
      </c>
      <c r="AQ103" s="11">
        <v>2.5149399999999999E-2</v>
      </c>
      <c r="AR103">
        <v>40.516800000000003</v>
      </c>
    </row>
    <row r="104" spans="1:44" x14ac:dyDescent="0.25">
      <c r="AJ104">
        <v>300</v>
      </c>
      <c r="AK104">
        <v>51.457500000000003</v>
      </c>
      <c r="AL104" s="11">
        <v>7.6003099999999999E-3</v>
      </c>
      <c r="AM104">
        <v>6.54E-2</v>
      </c>
      <c r="AN104" s="11">
        <v>3.0375200000000002E-4</v>
      </c>
      <c r="AO104">
        <v>0.42299999999999999</v>
      </c>
      <c r="AP104" s="12">
        <v>19.376100000000001</v>
      </c>
      <c r="AQ104" s="11">
        <v>2.2117999999999999E-2</v>
      </c>
      <c r="AR104">
        <v>35.518099999999997</v>
      </c>
    </row>
    <row r="105" spans="1:44" x14ac:dyDescent="0.25">
      <c r="AJ105">
        <v>200</v>
      </c>
      <c r="AK105">
        <v>43.560899999999997</v>
      </c>
      <c r="AL105" s="11">
        <v>6.4021199999999999E-3</v>
      </c>
      <c r="AM105">
        <v>7.8799999999999995E-2</v>
      </c>
      <c r="AN105" s="11">
        <v>5.1465199999999999E-4</v>
      </c>
      <c r="AO105">
        <v>0.41520000000000001</v>
      </c>
      <c r="AP105" s="12">
        <v>23.0853</v>
      </c>
      <c r="AQ105" s="11">
        <v>1.8616500000000001E-2</v>
      </c>
      <c r="AR105">
        <v>30.5198</v>
      </c>
    </row>
    <row r="106" spans="1:44" x14ac:dyDescent="0.25">
      <c r="AJ106">
        <v>100</v>
      </c>
      <c r="AK106">
        <v>33.9373</v>
      </c>
      <c r="AL106" s="11">
        <v>4.9056500000000001E-3</v>
      </c>
      <c r="AM106">
        <v>0.1038</v>
      </c>
      <c r="AN106" s="11">
        <v>1.1414699999999999E-3</v>
      </c>
      <c r="AO106">
        <v>0.40639999999999998</v>
      </c>
      <c r="AP106" s="12">
        <v>30.258299999999998</v>
      </c>
      <c r="AQ106" s="11">
        <v>1.4337300000000001E-2</v>
      </c>
      <c r="AR106">
        <v>25.522099999999998</v>
      </c>
    </row>
    <row r="107" spans="1:44" x14ac:dyDescent="0.25">
      <c r="AJ107">
        <v>0</v>
      </c>
      <c r="AK107">
        <v>20.052399999999999</v>
      </c>
      <c r="AL107" s="11">
        <v>2.7880700000000001E-3</v>
      </c>
      <c r="AM107">
        <v>0.17929999999999999</v>
      </c>
      <c r="AN107" s="11">
        <v>5.93985E-3</v>
      </c>
      <c r="AO107">
        <v>0.3952</v>
      </c>
      <c r="AP107" s="12">
        <v>53.567700000000002</v>
      </c>
      <c r="AQ107" s="11">
        <v>8.1909700000000005E-3</v>
      </c>
      <c r="AR107">
        <v>20.526900000000001</v>
      </c>
    </row>
  </sheetData>
  <mergeCells count="2">
    <mergeCell ref="B7:C7"/>
    <mergeCell ref="F7:N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Кнопка1_Щелчок">
                <anchor moveWithCells="1" sizeWithCells="1">
                  <from>
                    <xdr:col>7</xdr:col>
                    <xdr:colOff>38100</xdr:colOff>
                    <xdr:row>1</xdr:row>
                    <xdr:rowOff>0</xdr:rowOff>
                  </from>
                  <to>
                    <xdr:col>9</xdr:col>
                    <xdr:colOff>666750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30</vt:i4>
      </vt:variant>
    </vt:vector>
  </HeadingPairs>
  <TitlesOfParts>
    <vt:vector size="31" baseType="lpstr">
      <vt:lpstr>Лист1</vt:lpstr>
      <vt:lpstr>Bob_m3m3</vt:lpstr>
      <vt:lpstr>d_mm</vt:lpstr>
      <vt:lpstr>dpdl_aCurve</vt:lpstr>
      <vt:lpstr>dpdl_fCurve</vt:lpstr>
      <vt:lpstr>dpdl_gCurve</vt:lpstr>
      <vt:lpstr>fpat_</vt:lpstr>
      <vt:lpstr>gamma_gas</vt:lpstr>
      <vt:lpstr>gamma_oil</vt:lpstr>
      <vt:lpstr>gamma_wat</vt:lpstr>
      <vt:lpstr>Hl</vt:lpstr>
      <vt:lpstr>Hmes0_m</vt:lpstr>
      <vt:lpstr>Hmes1_m</vt:lpstr>
      <vt:lpstr>mdd</vt:lpstr>
      <vt:lpstr>Muob_cP</vt:lpstr>
      <vt:lpstr>p_</vt:lpstr>
      <vt:lpstr>Pb_atma</vt:lpstr>
      <vt:lpstr>Pcalc_atma</vt:lpstr>
      <vt:lpstr>Pout</vt:lpstr>
      <vt:lpstr>Q_m3Day</vt:lpstr>
      <vt:lpstr>roughness_m</vt:lpstr>
      <vt:lpstr>Rp_m3m3</vt:lpstr>
      <vt:lpstr>Rsb_m3m3</vt:lpstr>
      <vt:lpstr>T_</vt:lpstr>
      <vt:lpstr>Tcalc_C</vt:lpstr>
      <vt:lpstr>Tother_C</vt:lpstr>
      <vt:lpstr>Tout</vt:lpstr>
      <vt:lpstr>Tres_C</vt:lpstr>
      <vt:lpstr>vsg</vt:lpstr>
      <vt:lpstr>vsl</vt:lpstr>
      <vt:lpstr>WCT_perc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Киян Артём</dc:creator>
  <cp:lastModifiedBy>Киян Артём</cp:lastModifiedBy>
  <dcterms:created xsi:type="dcterms:W3CDTF">2018-11-09T12:42:12Z</dcterms:created>
  <dcterms:modified xsi:type="dcterms:W3CDTF">2018-11-29T10:01:45Z</dcterms:modified>
</cp:coreProperties>
</file>